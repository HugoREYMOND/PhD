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Hugo_REYMOND\PhD\PhD_notebook\experiments\atomization_1\data\PSD\"/>
    </mc:Choice>
  </mc:AlternateContent>
  <xr:revisionPtr revIDLastSave="0" documentId="13_ncr:1_{3A88F194-608A-4D8D-86C8-3B8402E752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F11" i="1"/>
  <c r="F15" i="1"/>
  <c r="F13" i="1"/>
  <c r="E9" i="1"/>
  <c r="F5" i="1"/>
  <c r="F6" i="1"/>
  <c r="F7" i="1"/>
  <c r="E3" i="1"/>
  <c r="F17" i="1" l="1"/>
  <c r="F9" i="1"/>
</calcChain>
</file>

<file path=xl/sharedStrings.xml><?xml version="1.0" encoding="utf-8"?>
<sst xmlns="http://schemas.openxmlformats.org/spreadsheetml/2006/main" count="15" uniqueCount="15">
  <si>
    <t>flakes</t>
  </si>
  <si>
    <t>nb rods</t>
  </si>
  <si>
    <t>1 rod weight</t>
  </si>
  <si>
    <t>kg</t>
  </si>
  <si>
    <t>125&lt;x&lt;63</t>
  </si>
  <si>
    <t>Weight (g)</t>
  </si>
  <si>
    <t>Feedstock</t>
  </si>
  <si>
    <t>x&lt;63</t>
  </si>
  <si>
    <t>Ratio</t>
  </si>
  <si>
    <t>Atomization</t>
  </si>
  <si>
    <t>Metal freeze</t>
  </si>
  <si>
    <t>Material nature</t>
  </si>
  <si>
    <t>Alu plate</t>
  </si>
  <si>
    <t>???</t>
  </si>
  <si>
    <t>Stuck in cyclone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</si>
</sst>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J13" sqref="J13"/>
    </sheetView>
  </sheetViews>
  <sheetFormatPr defaultRowHeight="15" x14ac:dyDescent="0.25"/>
  <cols>
    <col min="1" max="1" width="9.140625" style="1"/>
    <col min="2" max="2" width="12" style="1" bestFit="1" customWidth="1"/>
    <col min="4" max="4" width="15.7109375" style="1" bestFit="1" customWidth="1"/>
    <col min="5" max="5" width="10.28515625" style="1" bestFit="1" customWidth="1"/>
    <col min="6" max="7" width="9.140625" style="1"/>
  </cols>
  <sheetData>
    <row r="1" spans="1:6" x14ac:dyDescent="0.25">
      <c r="D1" s="1" t="s">
        <v>11</v>
      </c>
      <c r="E1" s="1" t="s">
        <v>5</v>
      </c>
      <c r="F1" s="1" t="s">
        <v>8</v>
      </c>
    </row>
    <row r="2" spans="1:6" x14ac:dyDescent="0.25">
      <c r="A2" s="1" t="s">
        <v>1</v>
      </c>
      <c r="B2" s="1" t="s">
        <v>2</v>
      </c>
    </row>
    <row r="3" spans="1:6" x14ac:dyDescent="0.25">
      <c r="B3" s="1" t="s">
        <v>3</v>
      </c>
      <c r="D3" s="1" t="s">
        <v>6</v>
      </c>
      <c r="E3" s="1">
        <f>A4*B4*1000</f>
        <v>10674.999999999998</v>
      </c>
    </row>
    <row r="4" spans="1:6" x14ac:dyDescent="0.25">
      <c r="A4" s="1">
        <v>7</v>
      </c>
      <c r="B4" s="1">
        <v>1.5249999999999999</v>
      </c>
    </row>
    <row r="5" spans="1:6" x14ac:dyDescent="0.25">
      <c r="D5" s="2" t="s">
        <v>0</v>
      </c>
      <c r="E5" s="2">
        <v>3049</v>
      </c>
      <c r="F5" s="3">
        <f>(E5/$E$3)</f>
        <v>0.28562060889929747</v>
      </c>
    </row>
    <row r="6" spans="1:6" x14ac:dyDescent="0.25">
      <c r="D6" s="2" t="s">
        <v>4</v>
      </c>
      <c r="E6" s="2">
        <v>806</v>
      </c>
      <c r="F6" s="3">
        <f t="shared" ref="F6:F13" si="0">E6/$E$3</f>
        <v>7.5503512880562076E-2</v>
      </c>
    </row>
    <row r="7" spans="1:6" x14ac:dyDescent="0.25">
      <c r="D7" s="2" t="s">
        <v>7</v>
      </c>
      <c r="E7" s="2">
        <v>121</v>
      </c>
      <c r="F7" s="3">
        <f t="shared" si="0"/>
        <v>1.1334894613583141E-2</v>
      </c>
    </row>
    <row r="8" spans="1:6" x14ac:dyDescent="0.25">
      <c r="F8" s="3"/>
    </row>
    <row r="9" spans="1:6" x14ac:dyDescent="0.25">
      <c r="D9" s="2" t="s">
        <v>9</v>
      </c>
      <c r="E9" s="2">
        <f>SUM(E5:E7)</f>
        <v>3976</v>
      </c>
      <c r="F9" s="3">
        <f t="shared" si="0"/>
        <v>0.3724590163934427</v>
      </c>
    </row>
    <row r="10" spans="1:6" x14ac:dyDescent="0.25">
      <c r="F10" s="3"/>
    </row>
    <row r="11" spans="1:6" x14ac:dyDescent="0.25">
      <c r="D11" s="4" t="s">
        <v>14</v>
      </c>
      <c r="E11" s="4">
        <v>382</v>
      </c>
      <c r="F11" s="5">
        <f t="shared" ref="F11:F12" si="1">E11/$E$3</f>
        <v>3.5784543325526941E-2</v>
      </c>
    </row>
    <row r="12" spans="1:6" x14ac:dyDescent="0.25">
      <c r="F12" s="5"/>
    </row>
    <row r="13" spans="1:6" x14ac:dyDescent="0.25">
      <c r="D13" s="4" t="s">
        <v>10</v>
      </c>
      <c r="E13" s="4">
        <v>500</v>
      </c>
      <c r="F13" s="5">
        <f>E13/$E$3</f>
        <v>4.6838407494145209E-2</v>
      </c>
    </row>
    <row r="14" spans="1:6" x14ac:dyDescent="0.25">
      <c r="F14" s="3"/>
    </row>
    <row r="15" spans="1:6" x14ac:dyDescent="0.25">
      <c r="D15" s="4" t="s">
        <v>12</v>
      </c>
      <c r="E15" s="4">
        <v>1286</v>
      </c>
      <c r="F15" s="5">
        <f>E15/$E$3</f>
        <v>0.12046838407494147</v>
      </c>
    </row>
    <row r="17" spans="4:6" x14ac:dyDescent="0.25">
      <c r="D17" s="4" t="s">
        <v>13</v>
      </c>
      <c r="E17" s="4">
        <f>E3-(E9+E11+E13+E15)</f>
        <v>4530.9999999999982</v>
      </c>
      <c r="F17" s="5">
        <f>E17/$E$3</f>
        <v>0.42444964871194368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Reymond</dc:creator>
  <cp:lastModifiedBy>Hugo Reymond</cp:lastModifiedBy>
  <dcterms:created xsi:type="dcterms:W3CDTF">2015-06-05T18:19:34Z</dcterms:created>
  <dcterms:modified xsi:type="dcterms:W3CDTF">2026-03-17T16:36:17Z</dcterms:modified>
</cp:coreProperties>
</file>