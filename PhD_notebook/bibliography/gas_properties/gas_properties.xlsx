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ugo_REYMOND\PhD\PhD_notebook\bibliography\gas_properties\"/>
    </mc:Choice>
  </mc:AlternateContent>
  <xr:revisionPtr revIDLastSave="0" documentId="13_ncr:1_{7A1A8AC5-3841-423B-BECF-14EE99203792}" xr6:coauthVersionLast="47" xr6:coauthVersionMax="47" xr10:uidLastSave="{00000000-0000-0000-0000-000000000000}"/>
  <bookViews>
    <workbookView xWindow="-120" yWindow="-120" windowWidth="29040" windowHeight="15720" activeTab="2" xr2:uid="{6B7213CA-96DA-4DEC-A40E-A4E0EAAE7E65}"/>
  </bookViews>
  <sheets>
    <sheet name="Gases_prop" sheetId="2" r:id="rId1"/>
    <sheet name="N2_prop" sheetId="4" r:id="rId2"/>
    <sheet name="Gases_prop_velocit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5" l="1"/>
  <c r="E19" i="5"/>
  <c r="F19" i="5"/>
  <c r="G19" i="5"/>
  <c r="H19" i="5"/>
  <c r="C19" i="5"/>
  <c r="X10" i="2"/>
  <c r="D18" i="5"/>
  <c r="E18" i="5"/>
  <c r="F18" i="5"/>
  <c r="G18" i="5"/>
  <c r="C18" i="5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V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11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V10" i="2"/>
  <c r="AU10" i="2"/>
  <c r="AT10" i="2"/>
  <c r="AS10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N33" i="2"/>
  <c r="AJ34" i="2"/>
  <c r="AJ35" i="2"/>
  <c r="AJ36" i="2"/>
  <c r="AJ37" i="2"/>
  <c r="AJ38" i="2"/>
  <c r="AJ39" i="2"/>
  <c r="AJ40" i="2"/>
  <c r="AJ41" i="2"/>
  <c r="AJ11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N10" i="2"/>
  <c r="AM10" i="2"/>
  <c r="AL10" i="2"/>
  <c r="AK10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F39" i="2"/>
  <c r="AB40" i="2"/>
  <c r="AB41" i="2"/>
  <c r="AB11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F10" i="2"/>
  <c r="AE10" i="2"/>
  <c r="AD10" i="2"/>
  <c r="AC10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X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11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W10" i="2"/>
  <c r="V10" i="2"/>
  <c r="U10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P37" i="2"/>
  <c r="L38" i="2"/>
  <c r="L39" i="2"/>
  <c r="L40" i="2"/>
  <c r="L41" i="2"/>
  <c r="L11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P10" i="2"/>
  <c r="O10" i="2"/>
  <c r="N10" i="2"/>
  <c r="M10" i="2"/>
  <c r="D41" i="2"/>
  <c r="C41" i="2"/>
  <c r="C40" i="2"/>
  <c r="C39" i="2"/>
  <c r="D39" i="2" s="1"/>
  <c r="C38" i="2"/>
  <c r="D38" i="2" s="1"/>
  <c r="C37" i="2"/>
  <c r="D37" i="2" s="1"/>
  <c r="C36" i="2"/>
  <c r="D36" i="2" s="1"/>
  <c r="C35" i="2"/>
  <c r="D34" i="2"/>
  <c r="C34" i="2"/>
  <c r="C33" i="2"/>
  <c r="C32" i="2"/>
  <c r="D32" i="2" s="1"/>
  <c r="C31" i="2"/>
  <c r="D31" i="2" s="1"/>
  <c r="E30" i="2"/>
  <c r="C30" i="2"/>
  <c r="D30" i="2" s="1"/>
  <c r="C29" i="2"/>
  <c r="D29" i="2" s="1"/>
  <c r="C28" i="2"/>
  <c r="D27" i="2"/>
  <c r="C27" i="2"/>
  <c r="C26" i="2"/>
  <c r="C25" i="2"/>
  <c r="D25" i="2" s="1"/>
  <c r="C24" i="2"/>
  <c r="D24" i="2" s="1"/>
  <c r="C23" i="2"/>
  <c r="D23" i="2" s="1"/>
  <c r="C22" i="2"/>
  <c r="D22" i="2" s="1"/>
  <c r="C21" i="2"/>
  <c r="D20" i="2"/>
  <c r="C20" i="2"/>
  <c r="C19" i="2"/>
  <c r="C18" i="2"/>
  <c r="D18" i="2" s="1"/>
  <c r="C17" i="2"/>
  <c r="D17" i="2" s="1"/>
  <c r="C16" i="2"/>
  <c r="D16" i="2" s="1"/>
  <c r="C15" i="2"/>
  <c r="D15" i="2" s="1"/>
  <c r="C14" i="2"/>
  <c r="D13" i="2"/>
  <c r="C13" i="2"/>
  <c r="C12" i="2"/>
  <c r="C11" i="2"/>
  <c r="D11" i="2" s="1"/>
  <c r="H10" i="2"/>
  <c r="X23" i="2" s="1"/>
  <c r="G10" i="2"/>
  <c r="AU37" i="2" s="1"/>
  <c r="F10" i="2"/>
  <c r="E10" i="2"/>
  <c r="AS26" i="2" s="1"/>
  <c r="AC12" i="2" l="1"/>
  <c r="AS37" i="2"/>
  <c r="AS16" i="2"/>
  <c r="M21" i="2"/>
  <c r="U39" i="2"/>
  <c r="U30" i="2"/>
  <c r="U13" i="2"/>
  <c r="AK38" i="2"/>
  <c r="M29" i="2"/>
  <c r="M12" i="2"/>
  <c r="U21" i="2"/>
  <c r="AK28" i="2"/>
  <c r="O20" i="2"/>
  <c r="U38" i="2"/>
  <c r="U29" i="2"/>
  <c r="U12" i="2"/>
  <c r="AC39" i="2"/>
  <c r="AF30" i="2"/>
  <c r="AC20" i="2"/>
  <c r="AK17" i="2"/>
  <c r="AS24" i="2"/>
  <c r="M36" i="2"/>
  <c r="M28" i="2"/>
  <c r="M20" i="2"/>
  <c r="AK36" i="2"/>
  <c r="AS13" i="2"/>
  <c r="W19" i="2"/>
  <c r="AC38" i="2"/>
  <c r="AK16" i="2"/>
  <c r="AS41" i="2"/>
  <c r="M35" i="2"/>
  <c r="AS12" i="2"/>
  <c r="U27" i="2"/>
  <c r="AK14" i="2"/>
  <c r="AK22" i="2"/>
  <c r="AM13" i="2"/>
  <c r="AS29" i="2"/>
  <c r="M25" i="2"/>
  <c r="AK33" i="2"/>
  <c r="U36" i="2"/>
  <c r="AC28" i="2"/>
  <c r="M11" i="2"/>
  <c r="U35" i="2"/>
  <c r="AS30" i="2"/>
  <c r="E37" i="2"/>
  <c r="AC35" i="2"/>
  <c r="AF25" i="2"/>
  <c r="AC34" i="2"/>
  <c r="AK13" i="2"/>
  <c r="AS18" i="2"/>
  <c r="U32" i="2"/>
  <c r="X15" i="2"/>
  <c r="AC24" i="2"/>
  <c r="AS38" i="2"/>
  <c r="AC32" i="2"/>
  <c r="U19" i="2"/>
  <c r="AC18" i="2"/>
  <c r="M18" i="2"/>
  <c r="AK24" i="2"/>
  <c r="M34" i="2"/>
  <c r="U18" i="2"/>
  <c r="AC17" i="2"/>
  <c r="AS20" i="2"/>
  <c r="P16" i="2"/>
  <c r="U25" i="2"/>
  <c r="AK41" i="2"/>
  <c r="H16" i="2"/>
  <c r="M40" i="2"/>
  <c r="M32" i="2"/>
  <c r="M23" i="2"/>
  <c r="U41" i="2"/>
  <c r="M39" i="2"/>
  <c r="M31" i="2"/>
  <c r="M22" i="2"/>
  <c r="M14" i="2"/>
  <c r="U40" i="2"/>
  <c r="AC11" i="2"/>
  <c r="AM39" i="2"/>
  <c r="AK30" i="2"/>
  <c r="AK20" i="2"/>
  <c r="F39" i="2"/>
  <c r="AT16" i="2"/>
  <c r="AT30" i="2"/>
  <c r="AL20" i="2"/>
  <c r="AL34" i="2"/>
  <c r="AD24" i="2"/>
  <c r="AD38" i="2"/>
  <c r="V25" i="2"/>
  <c r="V39" i="2"/>
  <c r="V11" i="2"/>
  <c r="N21" i="2"/>
  <c r="N35" i="2"/>
  <c r="N41" i="2"/>
  <c r="V34" i="2"/>
  <c r="AT19" i="2"/>
  <c r="AT33" i="2"/>
  <c r="AL23" i="2"/>
  <c r="AL37" i="2"/>
  <c r="AD13" i="2"/>
  <c r="AD27" i="2"/>
  <c r="AD41" i="2"/>
  <c r="V14" i="2"/>
  <c r="V28" i="2"/>
  <c r="N24" i="2"/>
  <c r="N38" i="2"/>
  <c r="F28" i="2"/>
  <c r="AT14" i="2"/>
  <c r="AT22" i="2"/>
  <c r="AT36" i="2"/>
  <c r="AL12" i="2"/>
  <c r="AL26" i="2"/>
  <c r="AL40" i="2"/>
  <c r="AD16" i="2"/>
  <c r="AD30" i="2"/>
  <c r="V17" i="2"/>
  <c r="V31" i="2"/>
  <c r="N13" i="2"/>
  <c r="N27" i="2"/>
  <c r="AT25" i="2"/>
  <c r="AT39" i="2"/>
  <c r="AL15" i="2"/>
  <c r="AL29" i="2"/>
  <c r="AD19" i="2"/>
  <c r="AD33" i="2"/>
  <c r="V20" i="2"/>
  <c r="N16" i="2"/>
  <c r="N30" i="2"/>
  <c r="AT28" i="2"/>
  <c r="AT18" i="2"/>
  <c r="AT32" i="2"/>
  <c r="AL22" i="2"/>
  <c r="AL36" i="2"/>
  <c r="AD12" i="2"/>
  <c r="AD26" i="2"/>
  <c r="AL30" i="2"/>
  <c r="AL11" i="2"/>
  <c r="AD17" i="2"/>
  <c r="AD40" i="2"/>
  <c r="V36" i="2"/>
  <c r="V40" i="2"/>
  <c r="N18" i="2"/>
  <c r="N22" i="2"/>
  <c r="N29" i="2"/>
  <c r="N33" i="2"/>
  <c r="N40" i="2"/>
  <c r="AT23" i="2"/>
  <c r="AD25" i="2"/>
  <c r="AD29" i="2"/>
  <c r="V15" i="2"/>
  <c r="AT27" i="2"/>
  <c r="AL27" i="2"/>
  <c r="AD21" i="2"/>
  <c r="V22" i="2"/>
  <c r="V26" i="2"/>
  <c r="V33" i="2"/>
  <c r="V37" i="2"/>
  <c r="N15" i="2"/>
  <c r="N19" i="2"/>
  <c r="N26" i="2"/>
  <c r="AT40" i="2"/>
  <c r="AL19" i="2"/>
  <c r="AL35" i="2"/>
  <c r="AT12" i="2"/>
  <c r="AT29" i="2"/>
  <c r="AT11" i="2"/>
  <c r="AL13" i="2"/>
  <c r="AD31" i="2"/>
  <c r="N12" i="2"/>
  <c r="V32" i="2"/>
  <c r="AD20" i="2"/>
  <c r="AD15" i="2"/>
  <c r="AL28" i="2"/>
  <c r="AT41" i="2"/>
  <c r="N11" i="2"/>
  <c r="N20" i="2"/>
  <c r="O16" i="2"/>
  <c r="W27" i="2"/>
  <c r="AL33" i="2"/>
  <c r="H41" i="2"/>
  <c r="AV24" i="2"/>
  <c r="AV38" i="2"/>
  <c r="AN14" i="2"/>
  <c r="AN28" i="2"/>
  <c r="AF18" i="2"/>
  <c r="AF32" i="2"/>
  <c r="X19" i="2"/>
  <c r="X33" i="2"/>
  <c r="P15" i="2"/>
  <c r="P29" i="2"/>
  <c r="AV13" i="2"/>
  <c r="AV27" i="2"/>
  <c r="AV41" i="2"/>
  <c r="AN17" i="2"/>
  <c r="AN31" i="2"/>
  <c r="AF21" i="2"/>
  <c r="AF35" i="2"/>
  <c r="X22" i="2"/>
  <c r="X36" i="2"/>
  <c r="P18" i="2"/>
  <c r="P32" i="2"/>
  <c r="P35" i="2"/>
  <c r="AF41" i="2"/>
  <c r="P24" i="2"/>
  <c r="AV36" i="2"/>
  <c r="AV16" i="2"/>
  <c r="AV30" i="2"/>
  <c r="AV11" i="2"/>
  <c r="AN20" i="2"/>
  <c r="AN34" i="2"/>
  <c r="AF24" i="2"/>
  <c r="AF38" i="2"/>
  <c r="X11" i="2"/>
  <c r="X25" i="2"/>
  <c r="X39" i="2"/>
  <c r="P21" i="2"/>
  <c r="AV19" i="2"/>
  <c r="AV33" i="2"/>
  <c r="AN23" i="2"/>
  <c r="AN37" i="2"/>
  <c r="AF13" i="2"/>
  <c r="AF27" i="2"/>
  <c r="X14" i="2"/>
  <c r="X28" i="2"/>
  <c r="P38" i="2"/>
  <c r="AV22" i="2"/>
  <c r="AV12" i="2"/>
  <c r="AV26" i="2"/>
  <c r="AV40" i="2"/>
  <c r="AN16" i="2"/>
  <c r="AN30" i="2"/>
  <c r="AN11" i="2"/>
  <c r="AF20" i="2"/>
  <c r="AF34" i="2"/>
  <c r="AV39" i="2"/>
  <c r="AN18" i="2"/>
  <c r="AF36" i="2"/>
  <c r="P36" i="2"/>
  <c r="AV14" i="2"/>
  <c r="AV18" i="2"/>
  <c r="AV31" i="2"/>
  <c r="AV35" i="2"/>
  <c r="AN22" i="2"/>
  <c r="AN38" i="2"/>
  <c r="X18" i="2"/>
  <c r="X29" i="2"/>
  <c r="AF17" i="2"/>
  <c r="AF40" i="2"/>
  <c r="X40" i="2"/>
  <c r="P33" i="2"/>
  <c r="P22" i="2"/>
  <c r="P40" i="2"/>
  <c r="AV23" i="2"/>
  <c r="AN15" i="2"/>
  <c r="AN32" i="2"/>
  <c r="G25" i="2"/>
  <c r="G32" i="2"/>
  <c r="G39" i="2"/>
  <c r="O37" i="2"/>
  <c r="P28" i="2"/>
  <c r="X35" i="2"/>
  <c r="V27" i="2"/>
  <c r="W23" i="2"/>
  <c r="AD39" i="2"/>
  <c r="AE34" i="2"/>
  <c r="AF14" i="2"/>
  <c r="AU24" i="2"/>
  <c r="AT13" i="2"/>
  <c r="G18" i="2"/>
  <c r="H32" i="2"/>
  <c r="H39" i="2"/>
  <c r="P11" i="2"/>
  <c r="N32" i="2"/>
  <c r="O15" i="2"/>
  <c r="W35" i="2"/>
  <c r="V23" i="2"/>
  <c r="X13" i="2"/>
  <c r="AD34" i="2"/>
  <c r="AF19" i="2"/>
  <c r="AE14" i="2"/>
  <c r="AL38" i="2"/>
  <c r="AN27" i="2"/>
  <c r="AN12" i="2"/>
  <c r="AU40" i="2"/>
  <c r="AT35" i="2"/>
  <c r="AV29" i="2"/>
  <c r="H18" i="2"/>
  <c r="G26" i="2"/>
  <c r="G33" i="2"/>
  <c r="G40" i="2"/>
  <c r="N28" i="2"/>
  <c r="P23" i="2"/>
  <c r="P19" i="2"/>
  <c r="V35" i="2"/>
  <c r="V18" i="2"/>
  <c r="W13" i="2"/>
  <c r="AD14" i="2"/>
  <c r="AM32" i="2"/>
  <c r="F19" i="2"/>
  <c r="O36" i="2"/>
  <c r="O23" i="2"/>
  <c r="O19" i="2"/>
  <c r="P14" i="2"/>
  <c r="X30" i="2"/>
  <c r="X26" i="2"/>
  <c r="V13" i="2"/>
  <c r="AF28" i="2"/>
  <c r="AF23" i="2"/>
  <c r="AE18" i="2"/>
  <c r="AM11" i="2"/>
  <c r="AL32" i="2"/>
  <c r="AM16" i="2"/>
  <c r="AU39" i="2"/>
  <c r="AV34" i="2"/>
  <c r="AU12" i="2"/>
  <c r="N36" i="2"/>
  <c r="N23" i="2"/>
  <c r="O14" i="2"/>
  <c r="W30" i="2"/>
  <c r="X21" i="2"/>
  <c r="AE28" i="2"/>
  <c r="AD23" i="2"/>
  <c r="AD18" i="2"/>
  <c r="AN41" i="2"/>
  <c r="AM21" i="2"/>
  <c r="AL16" i="2"/>
  <c r="AU34" i="2"/>
  <c r="AV28" i="2"/>
  <c r="O31" i="2"/>
  <c r="P27" i="2"/>
  <c r="W38" i="2"/>
  <c r="X34" i="2"/>
  <c r="X17" i="2"/>
  <c r="AF37" i="2"/>
  <c r="AN36" i="2"/>
  <c r="AN25" i="2"/>
  <c r="AT34" i="2"/>
  <c r="N31" i="2"/>
  <c r="V38" i="2"/>
  <c r="W34" i="2"/>
  <c r="V21" i="2"/>
  <c r="X12" i="2"/>
  <c r="AD37" i="2"/>
  <c r="AD32" i="2"/>
  <c r="AF22" i="2"/>
  <c r="AE12" i="2"/>
  <c r="AL41" i="2"/>
  <c r="AM25" i="2"/>
  <c r="AT38" i="2"/>
  <c r="P26" i="2"/>
  <c r="X16" i="2"/>
  <c r="AE11" i="2"/>
  <c r="O17" i="2"/>
  <c r="W16" i="2"/>
  <c r="F30" i="2"/>
  <c r="AE39" i="2"/>
  <c r="N37" i="2"/>
  <c r="AT24" i="2"/>
  <c r="G11" i="2"/>
  <c r="P41" i="2"/>
  <c r="AN21" i="2"/>
  <c r="V30" i="2"/>
  <c r="AD28" i="2"/>
  <c r="AV21" i="2"/>
  <c r="P17" i="2"/>
  <c r="AU21" i="2"/>
  <c r="O26" i="2"/>
  <c r="V29" i="2"/>
  <c r="AN35" i="2"/>
  <c r="X41" i="2"/>
  <c r="AF26" i="2"/>
  <c r="AN29" i="2"/>
  <c r="G30" i="2"/>
  <c r="O34" i="2"/>
  <c r="M17" i="2"/>
  <c r="P12" i="2"/>
  <c r="W41" i="2"/>
  <c r="W37" i="2"/>
  <c r="X32" i="2"/>
  <c r="V24" i="2"/>
  <c r="W20" i="2"/>
  <c r="U16" i="2"/>
  <c r="AC40" i="2"/>
  <c r="AE31" i="2"/>
  <c r="AE26" i="2"/>
  <c r="AM29" i="2"/>
  <c r="AM24" i="2"/>
  <c r="AV20" i="2"/>
  <c r="AV15" i="2"/>
  <c r="N25" i="2"/>
  <c r="AL18" i="2"/>
  <c r="AT20" i="2"/>
  <c r="G13" i="2"/>
  <c r="AU13" i="2"/>
  <c r="AU27" i="2"/>
  <c r="AU41" i="2"/>
  <c r="AM17" i="2"/>
  <c r="AM31" i="2"/>
  <c r="AE21" i="2"/>
  <c r="AE35" i="2"/>
  <c r="W22" i="2"/>
  <c r="W36" i="2"/>
  <c r="O18" i="2"/>
  <c r="O32" i="2"/>
  <c r="O24" i="2"/>
  <c r="O41" i="2"/>
  <c r="AU16" i="2"/>
  <c r="AU30" i="2"/>
  <c r="AM20" i="2"/>
  <c r="AM34" i="2"/>
  <c r="AE24" i="2"/>
  <c r="AE38" i="2"/>
  <c r="W25" i="2"/>
  <c r="W39" i="2"/>
  <c r="O21" i="2"/>
  <c r="O35" i="2"/>
  <c r="AU25" i="2"/>
  <c r="AU19" i="2"/>
  <c r="AU33" i="2"/>
  <c r="AM23" i="2"/>
  <c r="AM37" i="2"/>
  <c r="AE13" i="2"/>
  <c r="AE27" i="2"/>
  <c r="AE41" i="2"/>
  <c r="W14" i="2"/>
  <c r="W28" i="2"/>
  <c r="O38" i="2"/>
  <c r="AU22" i="2"/>
  <c r="AU36" i="2"/>
  <c r="AU11" i="2"/>
  <c r="AM12" i="2"/>
  <c r="AM26" i="2"/>
  <c r="AM40" i="2"/>
  <c r="AE16" i="2"/>
  <c r="AE30" i="2"/>
  <c r="W17" i="2"/>
  <c r="W31" i="2"/>
  <c r="O13" i="2"/>
  <c r="O27" i="2"/>
  <c r="AU15" i="2"/>
  <c r="AU29" i="2"/>
  <c r="AM19" i="2"/>
  <c r="AM33" i="2"/>
  <c r="AE23" i="2"/>
  <c r="AE37" i="2"/>
  <c r="AU14" i="2"/>
  <c r="AU18" i="2"/>
  <c r="AU31" i="2"/>
  <c r="AU35" i="2"/>
  <c r="AM14" i="2"/>
  <c r="AM22" i="2"/>
  <c r="AM38" i="2"/>
  <c r="AE32" i="2"/>
  <c r="W18" i="2"/>
  <c r="W29" i="2"/>
  <c r="AM30" i="2"/>
  <c r="AE17" i="2"/>
  <c r="AE40" i="2"/>
  <c r="W40" i="2"/>
  <c r="O22" i="2"/>
  <c r="O29" i="2"/>
  <c r="O33" i="2"/>
  <c r="O40" i="2"/>
  <c r="AU23" i="2"/>
  <c r="AM15" i="2"/>
  <c r="AE25" i="2"/>
  <c r="AE29" i="2"/>
  <c r="AE33" i="2"/>
  <c r="W15" i="2"/>
  <c r="AM27" i="2"/>
  <c r="AM28" i="2"/>
  <c r="AM36" i="2"/>
  <c r="AE15" i="2"/>
  <c r="AE19" i="2"/>
  <c r="V19" i="2"/>
  <c r="AL39" i="2"/>
  <c r="O11" i="2"/>
  <c r="AL17" i="2"/>
  <c r="H25" i="2"/>
  <c r="O28" i="2"/>
  <c r="X31" i="2"/>
  <c r="AF29" i="2"/>
  <c r="H11" i="2"/>
  <c r="AN26" i="2"/>
  <c r="H12" i="2"/>
  <c r="P31" i="2"/>
  <c r="X38" i="2"/>
  <c r="W26" i="2"/>
  <c r="AF33" i="2"/>
  <c r="AV17" i="2"/>
  <c r="N14" i="2"/>
  <c r="W21" i="2"/>
  <c r="AF12" i="2"/>
  <c r="AM41" i="2"/>
  <c r="AL31" i="2"/>
  <c r="AL21" i="2"/>
  <c r="AU38" i="2"/>
  <c r="AU28" i="2"/>
  <c r="AU17" i="2"/>
  <c r="AD11" i="2"/>
  <c r="AT17" i="2"/>
  <c r="P39" i="2"/>
  <c r="W12" i="2"/>
  <c r="AE22" i="2"/>
  <c r="AL25" i="2"/>
  <c r="O39" i="2"/>
  <c r="P13" i="2"/>
  <c r="W11" i="2"/>
  <c r="W33" i="2"/>
  <c r="X24" i="2"/>
  <c r="V12" i="2"/>
  <c r="AF11" i="2"/>
  <c r="AE36" i="2"/>
  <c r="AD22" i="2"/>
  <c r="AL14" i="2"/>
  <c r="AV32" i="2"/>
  <c r="AU26" i="2"/>
  <c r="AT21" i="2"/>
  <c r="F23" i="2"/>
  <c r="F37" i="2"/>
  <c r="N39" i="2"/>
  <c r="P34" i="2"/>
  <c r="P30" i="2"/>
  <c r="N17" i="2"/>
  <c r="X37" i="2"/>
  <c r="W24" i="2"/>
  <c r="X20" i="2"/>
  <c r="V16" i="2"/>
  <c r="AD36" i="2"/>
  <c r="AF31" i="2"/>
  <c r="AF16" i="2"/>
  <c r="AN40" i="2"/>
  <c r="AM35" i="2"/>
  <c r="AN24" i="2"/>
  <c r="AN19" i="2"/>
  <c r="AV37" i="2"/>
  <c r="AU32" i="2"/>
  <c r="AT26" i="2"/>
  <c r="F16" i="2"/>
  <c r="G23" i="2"/>
  <c r="G37" i="2"/>
  <c r="O30" i="2"/>
  <c r="P25" i="2"/>
  <c r="E13" i="2"/>
  <c r="AS19" i="2"/>
  <c r="AS33" i="2"/>
  <c r="AK23" i="2"/>
  <c r="AK37" i="2"/>
  <c r="AC13" i="2"/>
  <c r="AC27" i="2"/>
  <c r="AC41" i="2"/>
  <c r="U14" i="2"/>
  <c r="U28" i="2"/>
  <c r="M24" i="2"/>
  <c r="M38" i="2"/>
  <c r="E23" i="2"/>
  <c r="E16" i="2"/>
  <c r="AC36" i="2"/>
  <c r="AS17" i="2"/>
  <c r="AS31" i="2"/>
  <c r="AS22" i="2"/>
  <c r="AS36" i="2"/>
  <c r="AK12" i="2"/>
  <c r="AK26" i="2"/>
  <c r="AK40" i="2"/>
  <c r="AC16" i="2"/>
  <c r="AC30" i="2"/>
  <c r="U17" i="2"/>
  <c r="U31" i="2"/>
  <c r="U11" i="2"/>
  <c r="M13" i="2"/>
  <c r="M27" i="2"/>
  <c r="M41" i="2"/>
  <c r="AS14" i="2"/>
  <c r="AS25" i="2"/>
  <c r="AS39" i="2"/>
  <c r="AK15" i="2"/>
  <c r="AK29" i="2"/>
  <c r="AC19" i="2"/>
  <c r="AC33" i="2"/>
  <c r="U20" i="2"/>
  <c r="U34" i="2"/>
  <c r="M16" i="2"/>
  <c r="M30" i="2"/>
  <c r="AS28" i="2"/>
  <c r="AK18" i="2"/>
  <c r="AK32" i="2"/>
  <c r="AC22" i="2"/>
  <c r="U23" i="2"/>
  <c r="U37" i="2"/>
  <c r="M19" i="2"/>
  <c r="M33" i="2"/>
  <c r="AS21" i="2"/>
  <c r="AS35" i="2"/>
  <c r="AK25" i="2"/>
  <c r="AK39" i="2"/>
  <c r="AC15" i="2"/>
  <c r="AC29" i="2"/>
  <c r="AS23" i="2"/>
  <c r="AK34" i="2"/>
  <c r="AC25" i="2"/>
  <c r="U15" i="2"/>
  <c r="AS27" i="2"/>
  <c r="AK27" i="2"/>
  <c r="AK11" i="2"/>
  <c r="AC21" i="2"/>
  <c r="U22" i="2"/>
  <c r="U26" i="2"/>
  <c r="U33" i="2"/>
  <c r="M15" i="2"/>
  <c r="M26" i="2"/>
  <c r="AS40" i="2"/>
  <c r="AK19" i="2"/>
  <c r="AK35" i="2"/>
  <c r="AC14" i="2"/>
  <c r="AC37" i="2"/>
  <c r="M37" i="2"/>
  <c r="AS15" i="2"/>
  <c r="AS32" i="2"/>
  <c r="AK31" i="2"/>
  <c r="AS34" i="2"/>
  <c r="AK21" i="2"/>
  <c r="AC23" i="2"/>
  <c r="G16" i="2"/>
  <c r="H23" i="2"/>
  <c r="H30" i="2"/>
  <c r="H37" i="2"/>
  <c r="N34" i="2"/>
  <c r="O25" i="2"/>
  <c r="P20" i="2"/>
  <c r="O12" i="2"/>
  <c r="V41" i="2"/>
  <c r="W32" i="2"/>
  <c r="U24" i="2"/>
  <c r="AD35" i="2"/>
  <c r="AC31" i="2"/>
  <c r="AC26" i="2"/>
  <c r="AE20" i="2"/>
  <c r="AF15" i="2"/>
  <c r="AN39" i="2"/>
  <c r="AL24" i="2"/>
  <c r="AM18" i="2"/>
  <c r="AN13" i="2"/>
  <c r="AS11" i="2"/>
  <c r="AT37" i="2"/>
  <c r="AT31" i="2"/>
  <c r="AU20" i="2"/>
  <c r="AT15" i="2"/>
  <c r="G21" i="2"/>
  <c r="H28" i="2"/>
  <c r="G35" i="2"/>
  <c r="G14" i="2"/>
  <c r="E35" i="2"/>
  <c r="F21" i="2"/>
  <c r="H35" i="2"/>
  <c r="F40" i="2"/>
  <c r="D21" i="2"/>
  <c r="D35" i="2"/>
  <c r="E21" i="2"/>
  <c r="F14" i="2"/>
  <c r="D40" i="2"/>
  <c r="E19" i="2"/>
  <c r="G28" i="2"/>
  <c r="E33" i="2"/>
  <c r="H14" i="2"/>
  <c r="E31" i="2"/>
  <c r="E38" i="2"/>
  <c r="H33" i="2"/>
  <c r="F38" i="2"/>
  <c r="H40" i="2"/>
  <c r="E15" i="2"/>
  <c r="G17" i="2"/>
  <c r="E22" i="2"/>
  <c r="G24" i="2"/>
  <c r="E29" i="2"/>
  <c r="G31" i="2"/>
  <c r="E36" i="2"/>
  <c r="G38" i="2"/>
  <c r="D14" i="2"/>
  <c r="E14" i="2"/>
  <c r="E28" i="2"/>
  <c r="D12" i="2"/>
  <c r="D19" i="2"/>
  <c r="D26" i="2"/>
  <c r="E40" i="2"/>
  <c r="F33" i="2"/>
  <c r="G19" i="2"/>
  <c r="E24" i="2"/>
  <c r="F17" i="2"/>
  <c r="H26" i="2"/>
  <c r="H17" i="2"/>
  <c r="F22" i="2"/>
  <c r="F29" i="2"/>
  <c r="G15" i="2"/>
  <c r="E20" i="2"/>
  <c r="G22" i="2"/>
  <c r="E27" i="2"/>
  <c r="G29" i="2"/>
  <c r="E34" i="2"/>
  <c r="E41" i="2"/>
  <c r="F13" i="2"/>
  <c r="H15" i="2"/>
  <c r="F20" i="2"/>
  <c r="H22" i="2"/>
  <c r="F27" i="2"/>
  <c r="H29" i="2"/>
  <c r="F34" i="2"/>
  <c r="H36" i="2"/>
  <c r="F41" i="2"/>
  <c r="D28" i="2"/>
  <c r="F35" i="2"/>
  <c r="E26" i="2"/>
  <c r="F12" i="2"/>
  <c r="H21" i="2"/>
  <c r="F26" i="2"/>
  <c r="G12" i="2"/>
  <c r="H19" i="2"/>
  <c r="F24" i="2"/>
  <c r="H24" i="2"/>
  <c r="H31" i="2"/>
  <c r="F36" i="2"/>
  <c r="E11" i="2"/>
  <c r="E18" i="2"/>
  <c r="G20" i="2"/>
  <c r="E25" i="2"/>
  <c r="G27" i="2"/>
  <c r="E32" i="2"/>
  <c r="G34" i="2"/>
  <c r="E39" i="2"/>
  <c r="G41" i="2"/>
  <c r="D33" i="2"/>
  <c r="E12" i="2"/>
  <c r="E17" i="2"/>
  <c r="F31" i="2"/>
  <c r="F15" i="2"/>
  <c r="H38" i="2"/>
  <c r="G36" i="2"/>
  <c r="F11" i="2"/>
  <c r="H13" i="2"/>
  <c r="F18" i="2"/>
  <c r="H20" i="2"/>
  <c r="F25" i="2"/>
  <c r="H27" i="2"/>
  <c r="F32" i="2"/>
  <c r="H34" i="2"/>
</calcChain>
</file>

<file path=xl/sharedStrings.xml><?xml version="1.0" encoding="utf-8"?>
<sst xmlns="http://schemas.openxmlformats.org/spreadsheetml/2006/main" count="185" uniqueCount="62">
  <si>
    <t>Properties of helium as a function of temperature</t>
  </si>
  <si>
    <t>Properties of neon as a function of temperature</t>
  </si>
  <si>
    <t>Properties of argon as a function of temperature</t>
  </si>
  <si>
    <t>0°C</t>
  </si>
  <si>
    <t>Properties of xenon as a function of temperature</t>
  </si>
  <si>
    <t>B (10^-3 m3/1000l)</t>
  </si>
  <si>
    <t>D(l. 013 bar)</t>
  </si>
  <si>
    <t>T</t>
  </si>
  <si>
    <t>η</t>
  </si>
  <si>
    <t>λ</t>
  </si>
  <si>
    <t>(K or °C)</t>
  </si>
  <si>
    <t>10^-4m^2/s</t>
  </si>
  <si>
    <t>(10^-3 m^3/1000l)</t>
  </si>
  <si>
    <t>α</t>
  </si>
  <si>
    <r>
      <rPr>
        <sz val="11"/>
        <color rgb="FF000000"/>
        <rFont val="Aptos Narrow"/>
        <family val="2"/>
      </rPr>
      <t xml:space="preserve"> (</t>
    </r>
    <r>
      <rPr>
        <sz val="11"/>
        <color rgb="FF000000"/>
        <rFont val="Aptos Narrow"/>
        <family val="2"/>
        <scheme val="minor"/>
      </rPr>
      <t>mW/m K)</t>
    </r>
  </si>
  <si>
    <t>µPa s</t>
  </si>
  <si>
    <t>B</t>
  </si>
  <si>
    <t>Temp</t>
  </si>
  <si>
    <t>Visc. Dyn.</t>
  </si>
  <si>
    <t>Th. Cond.</t>
  </si>
  <si>
    <t>Masse diff.</t>
  </si>
  <si>
    <t>Th. Diff.</t>
  </si>
  <si>
    <t>Vol. exp.</t>
  </si>
  <si>
    <t xml:space="preserve">
</t>
  </si>
  <si>
    <t>Helium</t>
  </si>
  <si>
    <t>Neon</t>
  </si>
  <si>
    <t>Argon</t>
  </si>
  <si>
    <t>Krypton</t>
  </si>
  <si>
    <t>Xenon</t>
  </si>
  <si>
    <t>Nitrogen</t>
  </si>
  <si>
    <t>1bar</t>
  </si>
  <si>
    <t>5 bars</t>
  </si>
  <si>
    <t>10 bars</t>
  </si>
  <si>
    <t>15 bars</t>
  </si>
  <si>
    <t>20 bars</t>
  </si>
  <si>
    <t>T(K) / P (Pa)</t>
  </si>
  <si>
    <t>kg/mol</t>
  </si>
  <si>
    <t>M =</t>
  </si>
  <si>
    <t xml:space="preserve">R = </t>
  </si>
  <si>
    <t>Pv = nRT</t>
  </si>
  <si>
    <t>deg C</t>
  </si>
  <si>
    <t>T/K</t>
  </si>
  <si>
    <t>p/MPa</t>
  </si>
  <si>
    <t>c/(m·s−1)</t>
  </si>
  <si>
    <t>U(c)/(m·s−1)</t>
  </si>
  <si>
    <t>Property</t>
  </si>
  <si>
    <t>Molar mass M (g/mol)</t>
  </si>
  <si>
    <t>Critical temp. Tcr (K)</t>
  </si>
  <si>
    <t>Critical pressure Pcr (MPa)</t>
  </si>
  <si>
    <t>Critical mol. vol. Vcr (cm³/mol)</t>
  </si>
  <si>
    <t>Critical density ρcr (kg/m³)</t>
  </si>
  <si>
    <t>Specific heat ratio γ</t>
  </si>
  <si>
    <t>0.1 MPa, 283 K</t>
  </si>
  <si>
    <t>NA</t>
  </si>
  <si>
    <t>0.1 MPa, &lt; 400 K</t>
  </si>
  <si>
    <t>2 MPa, 400 K</t>
  </si>
  <si>
    <t>2 MPa, 1200 K</t>
  </si>
  <si>
    <t>7 MPa, 400 K</t>
  </si>
  <si>
    <t>7 MPa, 1200 K</t>
  </si>
  <si>
    <t>gamma</t>
  </si>
  <si>
    <t>R specif</t>
  </si>
  <si>
    <t>J/mol.K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</si>
</sst>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9AEC-610C-4779-A96C-5AA37A31D570}">
  <dimension ref="A1:AV70"/>
  <sheetViews>
    <sheetView zoomScale="70" zoomScaleNormal="70" workbookViewId="0">
      <selection activeCell="D2" sqref="D2"/>
    </sheetView>
  </sheetViews>
  <sheetFormatPr defaultRowHeight="14.5" x14ac:dyDescent="0.35"/>
  <cols>
    <col min="15" max="15" width="9.54296875" bestFit="1" customWidth="1"/>
  </cols>
  <sheetData>
    <row r="1" spans="1:48" x14ac:dyDescent="0.35">
      <c r="A1" t="s">
        <v>39</v>
      </c>
      <c r="AF1" s="2"/>
      <c r="AG1" s="2"/>
    </row>
    <row r="2" spans="1:48" ht="17.25" customHeight="1" x14ac:dyDescent="0.35">
      <c r="B2" s="1" t="s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AF2" s="2"/>
      <c r="AG2" s="2"/>
    </row>
    <row r="3" spans="1:48" x14ac:dyDescent="0.35">
      <c r="A3" t="s">
        <v>38</v>
      </c>
      <c r="B3" s="2">
        <v>8.3140000000000001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2"/>
      <c r="Q3" s="2"/>
    </row>
    <row r="4" spans="1:48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P4" s="2"/>
      <c r="Q4" s="2"/>
    </row>
    <row r="5" spans="1:48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P5" s="2"/>
      <c r="Q5" s="2"/>
    </row>
    <row r="6" spans="1:48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48" x14ac:dyDescent="0.35">
      <c r="B7" s="2"/>
      <c r="C7" s="2" t="s">
        <v>24</v>
      </c>
      <c r="D7" s="2" t="s">
        <v>37</v>
      </c>
      <c r="E7" s="2">
        <v>4.0029999999999996E-3</v>
      </c>
      <c r="F7" s="2" t="s">
        <v>36</v>
      </c>
      <c r="G7" s="2"/>
      <c r="H7" s="2"/>
      <c r="I7" s="2"/>
      <c r="J7" s="2"/>
      <c r="K7" s="2" t="s">
        <v>29</v>
      </c>
      <c r="L7" s="2" t="s">
        <v>37</v>
      </c>
      <c r="M7" s="2">
        <v>2.8013E-2</v>
      </c>
      <c r="N7" s="2" t="s">
        <v>36</v>
      </c>
      <c r="O7" s="2"/>
      <c r="P7" s="2"/>
      <c r="R7" s="2"/>
      <c r="S7" s="2" t="s">
        <v>28</v>
      </c>
      <c r="T7" s="2" t="s">
        <v>37</v>
      </c>
      <c r="U7" s="2">
        <v>0.13128999999999999</v>
      </c>
      <c r="V7" s="2" t="s">
        <v>36</v>
      </c>
      <c r="W7" s="2"/>
      <c r="X7" s="2"/>
      <c r="Z7" s="2"/>
      <c r="AA7" s="2" t="s">
        <v>27</v>
      </c>
      <c r="AB7" s="2" t="s">
        <v>37</v>
      </c>
      <c r="AC7" s="2">
        <v>8.3799999999999999E-2</v>
      </c>
      <c r="AD7" s="2" t="s">
        <v>36</v>
      </c>
      <c r="AE7" s="2"/>
      <c r="AF7" s="2"/>
      <c r="AH7" s="2"/>
      <c r="AI7" s="2" t="s">
        <v>26</v>
      </c>
      <c r="AJ7" s="2" t="s">
        <v>37</v>
      </c>
      <c r="AK7" s="2">
        <v>3.9947999999999997E-2</v>
      </c>
      <c r="AL7" s="2" t="s">
        <v>36</v>
      </c>
      <c r="AM7" s="2"/>
      <c r="AN7" s="2"/>
      <c r="AP7" s="2"/>
      <c r="AQ7" s="2" t="s">
        <v>25</v>
      </c>
      <c r="AR7" s="2" t="s">
        <v>37</v>
      </c>
      <c r="AS7" s="2">
        <v>2.0178999999999999E-2</v>
      </c>
      <c r="AT7" s="2" t="s">
        <v>36</v>
      </c>
      <c r="AU7" s="2"/>
      <c r="AV7" s="2"/>
    </row>
    <row r="8" spans="1:48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R8" s="2"/>
      <c r="S8" s="2"/>
      <c r="T8" s="2"/>
      <c r="U8" s="2"/>
      <c r="V8" s="2"/>
      <c r="W8" s="2"/>
      <c r="X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P8" s="2"/>
      <c r="AQ8" s="2"/>
      <c r="AR8" s="2"/>
      <c r="AS8" s="2"/>
      <c r="AT8" s="2"/>
      <c r="AU8" s="2"/>
      <c r="AV8" s="2"/>
    </row>
    <row r="9" spans="1:48" x14ac:dyDescent="0.35">
      <c r="B9" s="2" t="s">
        <v>7</v>
      </c>
      <c r="C9" s="2" t="s">
        <v>7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/>
      <c r="J9" s="2" t="s">
        <v>7</v>
      </c>
      <c r="K9" s="2" t="s">
        <v>7</v>
      </c>
      <c r="L9" s="2" t="s">
        <v>30</v>
      </c>
      <c r="M9" s="2" t="s">
        <v>31</v>
      </c>
      <c r="N9" s="2" t="s">
        <v>32</v>
      </c>
      <c r="O9" s="2" t="s">
        <v>33</v>
      </c>
      <c r="P9" s="2" t="s">
        <v>34</v>
      </c>
      <c r="R9" s="2" t="s">
        <v>7</v>
      </c>
      <c r="S9" s="2" t="s">
        <v>7</v>
      </c>
      <c r="T9" s="2" t="s">
        <v>30</v>
      </c>
      <c r="U9" s="2" t="s">
        <v>31</v>
      </c>
      <c r="V9" s="2" t="s">
        <v>32</v>
      </c>
      <c r="W9" s="2" t="s">
        <v>33</v>
      </c>
      <c r="X9" s="2" t="s">
        <v>34</v>
      </c>
      <c r="Z9" s="2" t="s">
        <v>7</v>
      </c>
      <c r="AA9" s="2" t="s">
        <v>7</v>
      </c>
      <c r="AB9" s="2" t="s">
        <v>30</v>
      </c>
      <c r="AC9" s="2" t="s">
        <v>31</v>
      </c>
      <c r="AD9" s="2" t="s">
        <v>32</v>
      </c>
      <c r="AE9" s="2" t="s">
        <v>33</v>
      </c>
      <c r="AF9" s="2" t="s">
        <v>34</v>
      </c>
      <c r="AH9" s="2" t="s">
        <v>7</v>
      </c>
      <c r="AI9" s="2" t="s">
        <v>7</v>
      </c>
      <c r="AJ9" s="2" t="s">
        <v>30</v>
      </c>
      <c r="AK9" s="2" t="s">
        <v>31</v>
      </c>
      <c r="AL9" s="2" t="s">
        <v>32</v>
      </c>
      <c r="AM9" s="2" t="s">
        <v>33</v>
      </c>
      <c r="AN9" s="2" t="s">
        <v>34</v>
      </c>
      <c r="AP9" s="2" t="s">
        <v>7</v>
      </c>
      <c r="AQ9" s="2" t="s">
        <v>7</v>
      </c>
      <c r="AR9" s="2" t="s">
        <v>30</v>
      </c>
      <c r="AS9" s="2" t="s">
        <v>31</v>
      </c>
      <c r="AT9" s="2" t="s">
        <v>32</v>
      </c>
      <c r="AU9" s="2" t="s">
        <v>33</v>
      </c>
      <c r="AV9" s="2" t="s">
        <v>34</v>
      </c>
    </row>
    <row r="10" spans="1:48" x14ac:dyDescent="0.35">
      <c r="B10" s="2" t="s">
        <v>40</v>
      </c>
      <c r="C10" s="2" t="s">
        <v>35</v>
      </c>
      <c r="D10" s="2">
        <v>101325</v>
      </c>
      <c r="E10" s="2">
        <f>D10*5</f>
        <v>506625</v>
      </c>
      <c r="F10" s="2">
        <f>10*D10</f>
        <v>1013250</v>
      </c>
      <c r="G10" s="2">
        <f>15*D10</f>
        <v>1519875</v>
      </c>
      <c r="H10" s="2">
        <f>20*D10</f>
        <v>2026500</v>
      </c>
      <c r="I10" s="2"/>
      <c r="J10" s="2" t="s">
        <v>40</v>
      </c>
      <c r="K10" s="2" t="s">
        <v>35</v>
      </c>
      <c r="L10" s="2">
        <v>101325</v>
      </c>
      <c r="M10" s="2">
        <f>L10*5</f>
        <v>506625</v>
      </c>
      <c r="N10" s="2">
        <f>10*L10</f>
        <v>1013250</v>
      </c>
      <c r="O10" s="2">
        <f>15*L10</f>
        <v>1519875</v>
      </c>
      <c r="P10" s="2">
        <f>20*L10</f>
        <v>2026500</v>
      </c>
      <c r="R10" s="2" t="s">
        <v>40</v>
      </c>
      <c r="S10" s="2" t="s">
        <v>35</v>
      </c>
      <c r="T10" s="2">
        <v>101325</v>
      </c>
      <c r="U10" s="2">
        <f>T10*5</f>
        <v>506625</v>
      </c>
      <c r="V10" s="2">
        <f>10*T10</f>
        <v>1013250</v>
      </c>
      <c r="W10" s="2">
        <f>15*T10</f>
        <v>1519875</v>
      </c>
      <c r="X10" s="2">
        <f>20*T10</f>
        <v>2026500</v>
      </c>
      <c r="Z10" s="2" t="s">
        <v>40</v>
      </c>
      <c r="AA10" s="2" t="s">
        <v>35</v>
      </c>
      <c r="AB10" s="2">
        <v>101325</v>
      </c>
      <c r="AC10" s="2">
        <f>AB10*5</f>
        <v>506625</v>
      </c>
      <c r="AD10" s="2">
        <f>10*AB10</f>
        <v>1013250</v>
      </c>
      <c r="AE10" s="2">
        <f>15*AB10</f>
        <v>1519875</v>
      </c>
      <c r="AF10" s="2">
        <f>20*AB10</f>
        <v>2026500</v>
      </c>
      <c r="AH10" s="2" t="s">
        <v>40</v>
      </c>
      <c r="AI10" s="2" t="s">
        <v>35</v>
      </c>
      <c r="AJ10" s="2">
        <v>101325</v>
      </c>
      <c r="AK10" s="2">
        <f>AJ10*5</f>
        <v>506625</v>
      </c>
      <c r="AL10" s="2">
        <f>10*AJ10</f>
        <v>1013250</v>
      </c>
      <c r="AM10" s="2">
        <f>15*AJ10</f>
        <v>1519875</v>
      </c>
      <c r="AN10" s="2">
        <f>20*AJ10</f>
        <v>2026500</v>
      </c>
      <c r="AP10" s="2" t="s">
        <v>40</v>
      </c>
      <c r="AQ10" s="2" t="s">
        <v>35</v>
      </c>
      <c r="AR10" s="2">
        <v>101325</v>
      </c>
      <c r="AS10" s="2">
        <f>AR10*5</f>
        <v>506625</v>
      </c>
      <c r="AT10" s="2">
        <f>10*AR10</f>
        <v>1013250</v>
      </c>
      <c r="AU10" s="2">
        <f>15*AR10</f>
        <v>1519875</v>
      </c>
      <c r="AV10" s="2">
        <f>20*AR10</f>
        <v>2026500</v>
      </c>
    </row>
    <row r="11" spans="1:48" x14ac:dyDescent="0.35">
      <c r="B11" s="2">
        <v>0</v>
      </c>
      <c r="C11" s="2">
        <f t="shared" ref="C11:C41" si="0">B11+273.15</f>
        <v>273.14999999999998</v>
      </c>
      <c r="D11" s="6">
        <f t="shared" ref="D11:D41" si="1">($D$10*$E$7)/($B$3*C11)</f>
        <v>0.17860391627521482</v>
      </c>
      <c r="E11" s="6">
        <f t="shared" ref="E11:E41" si="2">($E$10*$E$7)/($B$3*C11)</f>
        <v>0.89301958137607418</v>
      </c>
      <c r="F11" s="6">
        <f t="shared" ref="F11:F41" si="3">($F$10*$E$7)/($B$3*C11)</f>
        <v>1.7860391627521484</v>
      </c>
      <c r="G11" s="6">
        <f t="shared" ref="G11:G41" si="4">($G$10*$E$7)/($B$3*C11)</f>
        <v>2.6790587441282225</v>
      </c>
      <c r="H11" s="6">
        <f t="shared" ref="H11:H41" si="5">($H$10*$E$7)/($B$3*C11)</f>
        <v>3.5720783255042967</v>
      </c>
      <c r="I11" s="2"/>
      <c r="J11" s="2">
        <v>0</v>
      </c>
      <c r="K11" s="2">
        <f t="shared" ref="K11:K41" si="6">J11+273.15</f>
        <v>273.14999999999998</v>
      </c>
      <c r="L11" s="6">
        <f>($D$10*$M$7)/($B$3*K11)</f>
        <v>1.2498704737990491</v>
      </c>
      <c r="M11" s="6">
        <f>($E$10*$M$7)/($B$3*K11)</f>
        <v>6.2493523689952459</v>
      </c>
      <c r="N11" s="6">
        <f>($F$10*$M$7)/($B$3*K11)</f>
        <v>12.498704737990492</v>
      </c>
      <c r="O11" s="6">
        <f>($G$10*$M$7)/($B$3*K11)</f>
        <v>18.748057106985737</v>
      </c>
      <c r="P11" s="6">
        <f>($H$10*$M$7)/($B$3*K11)</f>
        <v>24.997409475980984</v>
      </c>
      <c r="R11" s="2">
        <v>0</v>
      </c>
      <c r="S11" s="2">
        <f t="shared" ref="S11:S41" si="7">R11+273.15</f>
        <v>273.14999999999998</v>
      </c>
      <c r="T11" s="6">
        <f>($D$10*$U$7)/($B$3*S11)</f>
        <v>5.85783366669322</v>
      </c>
      <c r="U11" s="6">
        <f>($E$10*$U$7)/($B$3*S11)</f>
        <v>29.289168333466097</v>
      </c>
      <c r="V11" s="6">
        <f>($F$10*$U$7)/($B$3*S11)</f>
        <v>58.578336666932195</v>
      </c>
      <c r="W11" s="6">
        <f>($G$10*$U$7)/($B$3*S11)</f>
        <v>87.867505000398282</v>
      </c>
      <c r="X11" s="6">
        <f>($H$10*$U$7)/($B$3*S11)</f>
        <v>117.15667333386439</v>
      </c>
      <c r="Z11" s="2">
        <v>0</v>
      </c>
      <c r="AA11" s="2">
        <f t="shared" ref="AA11:AA41" si="8">Z11+273.15</f>
        <v>273.14999999999998</v>
      </c>
      <c r="AB11" s="6">
        <f>($D$10*$AC$7)/($B$3*AA11)</f>
        <v>3.7389478350894341</v>
      </c>
      <c r="AC11" s="6">
        <f>($E$10*$AC$7)/($B$3*AA11)</f>
        <v>18.694739175447172</v>
      </c>
      <c r="AD11" s="6">
        <f>($F$10*$AC$7)/($B$3*AA11)</f>
        <v>37.389478350894343</v>
      </c>
      <c r="AE11" s="6">
        <f>($G$10*$AC$7)/($B$3*AA11)</f>
        <v>56.084217526341511</v>
      </c>
      <c r="AF11" s="6">
        <f>($H$10*$AC$7)/($B$3*AA11)</f>
        <v>74.778956701788687</v>
      </c>
      <c r="AH11" s="2">
        <v>0</v>
      </c>
      <c r="AI11" s="2">
        <f t="shared" ref="AI11:AI41" si="9">AH11+273.15</f>
        <v>273.14999999999998</v>
      </c>
      <c r="AJ11" s="6">
        <f>($D$10*$AK$7)/($B$3*AI11)</f>
        <v>1.7823805264457362</v>
      </c>
      <c r="AK11" s="6">
        <f>($E$10*$AK$7)/($B$3*AI11)</f>
        <v>8.9119026322286814</v>
      </c>
      <c r="AL11" s="6">
        <f>($F$10*$AK$7)/($B$3*AI11)</f>
        <v>17.823805264457363</v>
      </c>
      <c r="AM11" s="6">
        <f>($G$10*$AK$7)/($B$3*AI11)</f>
        <v>26.735707896686044</v>
      </c>
      <c r="AN11" s="6">
        <f>($H$10*$AK$7)/($B$3*AI11)</f>
        <v>35.647610528914726</v>
      </c>
      <c r="AP11" s="2">
        <v>0</v>
      </c>
      <c r="AQ11" s="2">
        <f t="shared" ref="AQ11:AQ41" si="10">AP11+273.15</f>
        <v>273.14999999999998</v>
      </c>
      <c r="AR11" s="6">
        <f>($D$10*$AS$7)/($B$3*AQ11)</f>
        <v>0.9003368539888984</v>
      </c>
      <c r="AS11" s="6">
        <f>($E$10*$AS$7)/($B$3*AQ11)</f>
        <v>4.5016842699444917</v>
      </c>
      <c r="AT11" s="6">
        <f>($F$10*$AS$7)/($B$3*AQ11)</f>
        <v>9.0033685398889833</v>
      </c>
      <c r="AU11" s="6">
        <f>($G$10*$AS$7)/($B$3*AQ11)</f>
        <v>13.505052809833476</v>
      </c>
      <c r="AV11" s="6">
        <f>($H$10*$AS$7)/($B$3*AQ11)</f>
        <v>18.006737079777967</v>
      </c>
    </row>
    <row r="12" spans="1:48" x14ac:dyDescent="0.35">
      <c r="B12" s="2">
        <v>50</v>
      </c>
      <c r="C12" s="2">
        <f t="shared" si="0"/>
        <v>323.14999999999998</v>
      </c>
      <c r="D12" s="6">
        <f t="shared" si="1"/>
        <v>0.15096908473023343</v>
      </c>
      <c r="E12" s="6">
        <f t="shared" si="2"/>
        <v>0.75484542365116714</v>
      </c>
      <c r="F12" s="6">
        <f t="shared" si="3"/>
        <v>1.5096908473023343</v>
      </c>
      <c r="G12" s="6">
        <f t="shared" si="4"/>
        <v>2.2645362709535015</v>
      </c>
      <c r="H12" s="6">
        <f t="shared" si="5"/>
        <v>3.0193816946046685</v>
      </c>
      <c r="I12" s="2"/>
      <c r="J12" s="2">
        <v>50</v>
      </c>
      <c r="K12" s="2">
        <f t="shared" si="6"/>
        <v>323.14999999999998</v>
      </c>
      <c r="L12" s="6">
        <f t="shared" ref="L12:L41" si="11">($D$10*$M$7)/($B$3*K12)</f>
        <v>1.0564818812260879</v>
      </c>
      <c r="M12" s="6">
        <f t="shared" ref="M12:M41" si="12">($E$10*$M$7)/($B$3*K12)</f>
        <v>5.282409406130439</v>
      </c>
      <c r="N12" s="6">
        <f t="shared" ref="N12:N41" si="13">($F$10*$M$7)/($B$3*K12)</f>
        <v>10.564818812260878</v>
      </c>
      <c r="O12" s="6">
        <f t="shared" ref="O12:O41" si="14">($G$10*$M$7)/($B$3*K12)</f>
        <v>15.847228218391317</v>
      </c>
      <c r="P12" s="6">
        <f t="shared" ref="P12:P41" si="15">($H$10*$M$7)/($B$3*K12)</f>
        <v>21.129637624521756</v>
      </c>
      <c r="R12" s="2">
        <v>50</v>
      </c>
      <c r="S12" s="2">
        <f t="shared" si="7"/>
        <v>323.14999999999998</v>
      </c>
      <c r="T12" s="6">
        <f t="shared" ref="T12:T41" si="16">($D$10*$U$7)/($B$3*S12)</f>
        <v>4.9514691816718335</v>
      </c>
      <c r="U12" s="6">
        <f t="shared" ref="U12:U41" si="17">($E$10*$U$7)/($B$3*S12)</f>
        <v>24.757345908359166</v>
      </c>
      <c r="V12" s="6">
        <f t="shared" ref="V12:V41" si="18">($F$10*$U$7)/($B$3*S12)</f>
        <v>49.514691816718333</v>
      </c>
      <c r="W12" s="6">
        <f t="shared" ref="W12:W41" si="19">($G$10*$U$7)/($B$3*S12)</f>
        <v>74.272037725077496</v>
      </c>
      <c r="X12" s="6">
        <f t="shared" ref="X12:X41" si="20">($H$10*$U$7)/($B$3*S12)</f>
        <v>99.029383633436666</v>
      </c>
      <c r="Z12" s="2">
        <v>50</v>
      </c>
      <c r="AA12" s="2">
        <f t="shared" si="8"/>
        <v>323.14999999999998</v>
      </c>
      <c r="AB12" s="6">
        <f t="shared" ref="AB12:AB41" si="21">($D$10*$AC$7)/($B$3*AA12)</f>
        <v>3.1604320010975675</v>
      </c>
      <c r="AC12" s="6">
        <f t="shared" ref="AC12:AC41" si="22">($E$10*$AC$7)/($B$3*AA12)</f>
        <v>15.80216000548784</v>
      </c>
      <c r="AD12" s="6">
        <f t="shared" ref="AD12:AD41" si="23">($F$10*$AC$7)/($B$3*AA12)</f>
        <v>31.60432001097568</v>
      </c>
      <c r="AE12" s="6">
        <f t="shared" ref="AE12:AE41" si="24">($G$10*$AC$7)/($B$3*AA12)</f>
        <v>47.406480016463512</v>
      </c>
      <c r="AF12" s="6">
        <f t="shared" ref="AF12:AF41" si="25">($H$10*$AC$7)/($B$3*AA12)</f>
        <v>63.208640021951361</v>
      </c>
      <c r="AH12" s="2">
        <v>50</v>
      </c>
      <c r="AI12" s="2">
        <f t="shared" si="9"/>
        <v>323.14999999999998</v>
      </c>
      <c r="AJ12" s="6">
        <f t="shared" ref="AJ12:AJ41" si="26">($D$10*$AK$7)/($B$3*AI12)</f>
        <v>1.5065983004754848</v>
      </c>
      <c r="AK12" s="6">
        <f t="shared" ref="AK12:AK41" si="27">($E$10*$AK$7)/($B$3*AI12)</f>
        <v>7.5329915023774232</v>
      </c>
      <c r="AL12" s="6">
        <f t="shared" ref="AL12:AL41" si="28">($F$10*$AK$7)/($B$3*AI12)</f>
        <v>15.065983004754846</v>
      </c>
      <c r="AM12" s="6">
        <f t="shared" ref="AM12:AM41" si="29">($G$10*$AK$7)/($B$3*AI12)</f>
        <v>22.598974507132272</v>
      </c>
      <c r="AN12" s="6">
        <f t="shared" ref="AN12:AN41" si="30">($H$10*$AK$7)/($B$3*AI12)</f>
        <v>30.131966009509693</v>
      </c>
      <c r="AP12" s="2">
        <v>50</v>
      </c>
      <c r="AQ12" s="2">
        <f t="shared" si="10"/>
        <v>323.14999999999998</v>
      </c>
      <c r="AR12" s="6">
        <f t="shared" ref="AR12:AR41" si="31">($D$10*$AS$7)/($B$3*AQ12)</f>
        <v>0.76103051730486648</v>
      </c>
      <c r="AS12" s="6">
        <f t="shared" ref="AS12:AS41" si="32">($E$10*$AS$7)/($B$3*AQ12)</f>
        <v>3.8051525865243327</v>
      </c>
      <c r="AT12" s="6">
        <f t="shared" ref="AT12:AT41" si="33">($F$10*$AS$7)/($B$3*AQ12)</f>
        <v>7.6103051730486655</v>
      </c>
      <c r="AU12" s="6">
        <f t="shared" ref="AU12:AU41" si="34">($G$10*$AS$7)/($B$3*AQ12)</f>
        <v>11.415457759572998</v>
      </c>
      <c r="AV12" s="6">
        <f t="shared" ref="AV12:AV41" si="35">($H$10*$AS$7)/($B$3*AQ12)</f>
        <v>15.220610346097331</v>
      </c>
    </row>
    <row r="13" spans="1:48" x14ac:dyDescent="0.35">
      <c r="B13" s="2">
        <v>100</v>
      </c>
      <c r="C13" s="2">
        <f t="shared" si="0"/>
        <v>373.15</v>
      </c>
      <c r="D13" s="6">
        <f t="shared" si="1"/>
        <v>0.13074007699470702</v>
      </c>
      <c r="E13" s="6">
        <f t="shared" si="2"/>
        <v>0.65370038497353511</v>
      </c>
      <c r="F13" s="6">
        <f t="shared" si="3"/>
        <v>1.3074007699470702</v>
      </c>
      <c r="G13" s="6">
        <f t="shared" si="4"/>
        <v>1.9611011549206054</v>
      </c>
      <c r="H13" s="6">
        <f t="shared" si="5"/>
        <v>2.6148015398941404</v>
      </c>
      <c r="I13" s="2"/>
      <c r="J13" s="2">
        <v>100</v>
      </c>
      <c r="K13" s="2">
        <f t="shared" si="6"/>
        <v>373.15</v>
      </c>
      <c r="L13" s="6">
        <f t="shared" si="11"/>
        <v>0.91491925477210312</v>
      </c>
      <c r="M13" s="6">
        <f t="shared" si="12"/>
        <v>4.5745962738605153</v>
      </c>
      <c r="N13" s="6">
        <f t="shared" si="13"/>
        <v>9.1491925477210305</v>
      </c>
      <c r="O13" s="6">
        <f t="shared" si="14"/>
        <v>13.723788821581545</v>
      </c>
      <c r="P13" s="6">
        <f t="shared" si="15"/>
        <v>18.298385095442061</v>
      </c>
      <c r="R13" s="2">
        <v>100</v>
      </c>
      <c r="S13" s="2">
        <f t="shared" si="7"/>
        <v>373.15</v>
      </c>
      <c r="T13" s="6">
        <f t="shared" si="16"/>
        <v>4.288000177026003</v>
      </c>
      <c r="U13" s="6">
        <f t="shared" si="17"/>
        <v>21.440000885130011</v>
      </c>
      <c r="V13" s="6">
        <f t="shared" si="18"/>
        <v>42.880001770260023</v>
      </c>
      <c r="W13" s="6">
        <f t="shared" si="19"/>
        <v>64.320002655390027</v>
      </c>
      <c r="X13" s="6">
        <f t="shared" si="20"/>
        <v>85.760003540520046</v>
      </c>
      <c r="Z13" s="2">
        <v>100</v>
      </c>
      <c r="AA13" s="2">
        <f t="shared" si="8"/>
        <v>373.15</v>
      </c>
      <c r="AB13" s="6">
        <f t="shared" si="21"/>
        <v>2.7369518991147768</v>
      </c>
      <c r="AC13" s="6">
        <f t="shared" si="22"/>
        <v>13.684759495573884</v>
      </c>
      <c r="AD13" s="6">
        <f t="shared" si="23"/>
        <v>27.369518991147768</v>
      </c>
      <c r="AE13" s="6">
        <f t="shared" si="24"/>
        <v>41.05427848672165</v>
      </c>
      <c r="AF13" s="6">
        <f t="shared" si="25"/>
        <v>54.739037982295535</v>
      </c>
      <c r="AH13" s="2">
        <v>100</v>
      </c>
      <c r="AI13" s="2">
        <f t="shared" si="9"/>
        <v>373.15</v>
      </c>
      <c r="AJ13" s="6">
        <f t="shared" si="26"/>
        <v>1.3047226069908959</v>
      </c>
      <c r="AK13" s="6">
        <f t="shared" si="27"/>
        <v>6.5236130349544794</v>
      </c>
      <c r="AL13" s="6">
        <f t="shared" si="28"/>
        <v>13.047226069908959</v>
      </c>
      <c r="AM13" s="6">
        <f t="shared" si="29"/>
        <v>19.570839104863442</v>
      </c>
      <c r="AN13" s="6">
        <f t="shared" si="30"/>
        <v>26.094452139817918</v>
      </c>
      <c r="AP13" s="2">
        <v>100</v>
      </c>
      <c r="AQ13" s="2">
        <f t="shared" si="10"/>
        <v>373.15</v>
      </c>
      <c r="AR13" s="6">
        <f t="shared" si="31"/>
        <v>0.65905671088588391</v>
      </c>
      <c r="AS13" s="6">
        <f t="shared" si="32"/>
        <v>3.2952835544294197</v>
      </c>
      <c r="AT13" s="6">
        <f t="shared" si="33"/>
        <v>6.5905671088588393</v>
      </c>
      <c r="AU13" s="6">
        <f t="shared" si="34"/>
        <v>9.8858506632882595</v>
      </c>
      <c r="AV13" s="6">
        <f t="shared" si="35"/>
        <v>13.181134217717679</v>
      </c>
    </row>
    <row r="14" spans="1:48" x14ac:dyDescent="0.35">
      <c r="B14" s="2">
        <v>150</v>
      </c>
      <c r="C14" s="2">
        <f t="shared" si="0"/>
        <v>423.15</v>
      </c>
      <c r="D14" s="6">
        <f t="shared" si="1"/>
        <v>0.11529164535170727</v>
      </c>
      <c r="E14" s="6">
        <f t="shared" si="2"/>
        <v>0.57645822675853631</v>
      </c>
      <c r="F14" s="6">
        <f t="shared" si="3"/>
        <v>1.1529164535170726</v>
      </c>
      <c r="G14" s="6">
        <f t="shared" si="4"/>
        <v>1.7293746802756089</v>
      </c>
      <c r="H14" s="6">
        <f t="shared" si="5"/>
        <v>2.3058329070341452</v>
      </c>
      <c r="I14" s="2"/>
      <c r="J14" s="2">
        <v>150</v>
      </c>
      <c r="K14" s="2">
        <f t="shared" si="6"/>
        <v>423.15</v>
      </c>
      <c r="L14" s="6">
        <f t="shared" si="11"/>
        <v>0.80681110697910974</v>
      </c>
      <c r="M14" s="6">
        <f t="shared" si="12"/>
        <v>4.0340555348955487</v>
      </c>
      <c r="N14" s="6">
        <f t="shared" si="13"/>
        <v>8.0681110697910974</v>
      </c>
      <c r="O14" s="6">
        <f t="shared" si="14"/>
        <v>12.102166604686644</v>
      </c>
      <c r="P14" s="6">
        <f t="shared" si="15"/>
        <v>16.136222139582195</v>
      </c>
      <c r="R14" s="2">
        <v>150</v>
      </c>
      <c r="S14" s="2">
        <f t="shared" si="7"/>
        <v>423.15</v>
      </c>
      <c r="T14" s="6">
        <f t="shared" si="16"/>
        <v>3.7813240365290155</v>
      </c>
      <c r="U14" s="6">
        <f t="shared" si="17"/>
        <v>18.906620182645078</v>
      </c>
      <c r="V14" s="6">
        <f t="shared" si="18"/>
        <v>37.813240365290156</v>
      </c>
      <c r="W14" s="6">
        <f t="shared" si="19"/>
        <v>56.719860547935227</v>
      </c>
      <c r="X14" s="6">
        <f t="shared" si="20"/>
        <v>75.626480730580312</v>
      </c>
      <c r="Z14" s="2">
        <v>150</v>
      </c>
      <c r="AA14" s="2">
        <f t="shared" si="8"/>
        <v>423.15</v>
      </c>
      <c r="AB14" s="6">
        <f t="shared" si="21"/>
        <v>2.4135498077624455</v>
      </c>
      <c r="AC14" s="6">
        <f t="shared" si="22"/>
        <v>12.067749038812229</v>
      </c>
      <c r="AD14" s="6">
        <f t="shared" si="23"/>
        <v>24.135498077624458</v>
      </c>
      <c r="AE14" s="6">
        <f t="shared" si="24"/>
        <v>36.203247116436685</v>
      </c>
      <c r="AF14" s="6">
        <f t="shared" si="25"/>
        <v>48.270996155248916</v>
      </c>
      <c r="AH14" s="2">
        <v>150</v>
      </c>
      <c r="AI14" s="2">
        <f t="shared" si="9"/>
        <v>423.15</v>
      </c>
      <c r="AJ14" s="6">
        <f t="shared" si="26"/>
        <v>1.1505547460679495</v>
      </c>
      <c r="AK14" s="6">
        <f t="shared" si="27"/>
        <v>5.7527737303397473</v>
      </c>
      <c r="AL14" s="6">
        <f t="shared" si="28"/>
        <v>11.505547460679495</v>
      </c>
      <c r="AM14" s="6">
        <f t="shared" si="29"/>
        <v>17.258321191019245</v>
      </c>
      <c r="AN14" s="6">
        <f t="shared" si="30"/>
        <v>23.011094921358989</v>
      </c>
      <c r="AP14" s="2">
        <v>150</v>
      </c>
      <c r="AQ14" s="2">
        <f t="shared" si="10"/>
        <v>423.15</v>
      </c>
      <c r="AR14" s="6">
        <f t="shared" si="31"/>
        <v>0.58118164165678265</v>
      </c>
      <c r="AS14" s="6">
        <f t="shared" si="32"/>
        <v>2.9059082082839134</v>
      </c>
      <c r="AT14" s="6">
        <f t="shared" si="33"/>
        <v>5.8118164165678268</v>
      </c>
      <c r="AU14" s="6">
        <f t="shared" si="34"/>
        <v>8.7177246248517406</v>
      </c>
      <c r="AV14" s="6">
        <f t="shared" si="35"/>
        <v>11.623632833135654</v>
      </c>
    </row>
    <row r="15" spans="1:48" x14ac:dyDescent="0.35">
      <c r="B15" s="2">
        <v>200</v>
      </c>
      <c r="C15" s="2">
        <f t="shared" si="0"/>
        <v>473.15</v>
      </c>
      <c r="D15" s="6">
        <f t="shared" si="1"/>
        <v>0.10310823149228558</v>
      </c>
      <c r="E15" s="6">
        <f t="shared" si="2"/>
        <v>0.51554115746142792</v>
      </c>
      <c r="F15" s="6">
        <f t="shared" si="3"/>
        <v>1.0310823149228558</v>
      </c>
      <c r="G15" s="6">
        <f t="shared" si="4"/>
        <v>1.5466234723842838</v>
      </c>
      <c r="H15" s="6">
        <f t="shared" si="5"/>
        <v>2.0621646298457117</v>
      </c>
      <c r="I15" s="2"/>
      <c r="J15" s="2">
        <v>200</v>
      </c>
      <c r="K15" s="2">
        <f t="shared" si="6"/>
        <v>473.15</v>
      </c>
      <c r="L15" s="6">
        <f t="shared" si="11"/>
        <v>0.72155155852945208</v>
      </c>
      <c r="M15" s="6">
        <f t="shared" si="12"/>
        <v>3.6077577926472602</v>
      </c>
      <c r="N15" s="6">
        <f t="shared" si="13"/>
        <v>7.2155155852945203</v>
      </c>
      <c r="O15" s="6">
        <f t="shared" si="14"/>
        <v>10.823273377941781</v>
      </c>
      <c r="P15" s="6">
        <f t="shared" si="15"/>
        <v>14.431031170589041</v>
      </c>
      <c r="R15" s="2">
        <v>200</v>
      </c>
      <c r="S15" s="2">
        <f t="shared" si="7"/>
        <v>473.15</v>
      </c>
      <c r="T15" s="6">
        <f t="shared" si="16"/>
        <v>3.3817336279345933</v>
      </c>
      <c r="U15" s="6">
        <f t="shared" si="17"/>
        <v>16.908668139672965</v>
      </c>
      <c r="V15" s="6">
        <f t="shared" si="18"/>
        <v>33.81733627934593</v>
      </c>
      <c r="W15" s="6">
        <f t="shared" si="19"/>
        <v>50.726004419018899</v>
      </c>
      <c r="X15" s="6">
        <f t="shared" si="20"/>
        <v>67.634672558691861</v>
      </c>
      <c r="Z15" s="2">
        <v>200</v>
      </c>
      <c r="AA15" s="2">
        <f t="shared" si="8"/>
        <v>473.15</v>
      </c>
      <c r="AB15" s="6">
        <f t="shared" si="21"/>
        <v>2.1584985758315098</v>
      </c>
      <c r="AC15" s="6">
        <f t="shared" si="22"/>
        <v>10.79249287915755</v>
      </c>
      <c r="AD15" s="6">
        <f t="shared" si="23"/>
        <v>21.584985758315099</v>
      </c>
      <c r="AE15" s="6">
        <f t="shared" si="24"/>
        <v>32.377478637472649</v>
      </c>
      <c r="AF15" s="6">
        <f t="shared" si="25"/>
        <v>43.169971516630198</v>
      </c>
      <c r="AH15" s="2">
        <v>200</v>
      </c>
      <c r="AI15" s="2">
        <f t="shared" si="9"/>
        <v>473.15</v>
      </c>
      <c r="AJ15" s="6">
        <f t="shared" si="26"/>
        <v>1.0289701802782476</v>
      </c>
      <c r="AK15" s="6">
        <f t="shared" si="27"/>
        <v>5.1448509013912371</v>
      </c>
      <c r="AL15" s="6">
        <f t="shared" si="28"/>
        <v>10.289701802782474</v>
      </c>
      <c r="AM15" s="6">
        <f t="shared" si="29"/>
        <v>15.434552704173713</v>
      </c>
      <c r="AN15" s="6">
        <f t="shared" si="30"/>
        <v>20.579403605564949</v>
      </c>
      <c r="AP15" s="2">
        <v>200</v>
      </c>
      <c r="AQ15" s="2">
        <f t="shared" si="10"/>
        <v>473.15</v>
      </c>
      <c r="AR15" s="6">
        <f t="shared" si="31"/>
        <v>0.51976542675064474</v>
      </c>
      <c r="AS15" s="6">
        <f t="shared" si="32"/>
        <v>2.5988271337532241</v>
      </c>
      <c r="AT15" s="6">
        <f t="shared" si="33"/>
        <v>5.1976542675064481</v>
      </c>
      <c r="AU15" s="6">
        <f t="shared" si="34"/>
        <v>7.7964814012596717</v>
      </c>
      <c r="AV15" s="6">
        <f t="shared" si="35"/>
        <v>10.395308535012896</v>
      </c>
    </row>
    <row r="16" spans="1:48" x14ac:dyDescent="0.35">
      <c r="B16" s="2">
        <v>250</v>
      </c>
      <c r="C16" s="2">
        <f t="shared" si="0"/>
        <v>523.15</v>
      </c>
      <c r="D16" s="6">
        <f t="shared" si="1"/>
        <v>9.3253674339242906E-2</v>
      </c>
      <c r="E16" s="6">
        <f t="shared" si="2"/>
        <v>0.46626837169621449</v>
      </c>
      <c r="F16" s="6">
        <f t="shared" si="3"/>
        <v>0.93253674339242898</v>
      </c>
      <c r="G16" s="6">
        <f t="shared" si="4"/>
        <v>1.3988051150886436</v>
      </c>
      <c r="H16" s="6">
        <f t="shared" si="5"/>
        <v>1.865073486784858</v>
      </c>
      <c r="I16" s="2"/>
      <c r="J16" s="2">
        <v>250</v>
      </c>
      <c r="K16" s="2">
        <f t="shared" si="6"/>
        <v>523.15</v>
      </c>
      <c r="L16" s="6">
        <f t="shared" si="11"/>
        <v>0.65258935280170172</v>
      </c>
      <c r="M16" s="6">
        <f t="shared" si="12"/>
        <v>3.2629467640085084</v>
      </c>
      <c r="N16" s="6">
        <f t="shared" si="13"/>
        <v>6.5258935280170167</v>
      </c>
      <c r="O16" s="6">
        <f t="shared" si="14"/>
        <v>9.7888402920255242</v>
      </c>
      <c r="P16" s="6">
        <f t="shared" si="15"/>
        <v>13.051787056034033</v>
      </c>
      <c r="R16" s="2">
        <v>250</v>
      </c>
      <c r="S16" s="2">
        <f t="shared" si="7"/>
        <v>523.15</v>
      </c>
      <c r="T16" s="6">
        <f t="shared" si="16"/>
        <v>3.058524832375519</v>
      </c>
      <c r="U16" s="6">
        <f t="shared" si="17"/>
        <v>15.292624161877594</v>
      </c>
      <c r="V16" s="6">
        <f t="shared" si="18"/>
        <v>30.585248323755188</v>
      </c>
      <c r="W16" s="6">
        <f t="shared" si="19"/>
        <v>45.877872485632778</v>
      </c>
      <c r="X16" s="6">
        <f t="shared" si="20"/>
        <v>61.170496647510376</v>
      </c>
      <c r="Z16" s="2">
        <v>250</v>
      </c>
      <c r="AA16" s="2">
        <f t="shared" si="8"/>
        <v>523.15</v>
      </c>
      <c r="AB16" s="6">
        <f t="shared" si="21"/>
        <v>1.9522003271617676</v>
      </c>
      <c r="AC16" s="6">
        <f t="shared" si="22"/>
        <v>9.7610016358088387</v>
      </c>
      <c r="AD16" s="6">
        <f t="shared" si="23"/>
        <v>19.522003271617677</v>
      </c>
      <c r="AE16" s="6">
        <f t="shared" si="24"/>
        <v>29.283004907426516</v>
      </c>
      <c r="AF16" s="6">
        <f t="shared" si="25"/>
        <v>39.044006543235355</v>
      </c>
      <c r="AH16" s="2">
        <v>250</v>
      </c>
      <c r="AI16" s="2">
        <f t="shared" si="9"/>
        <v>523.15</v>
      </c>
      <c r="AJ16" s="6">
        <f t="shared" si="26"/>
        <v>0.930626475769192</v>
      </c>
      <c r="AK16" s="6">
        <f t="shared" si="27"/>
        <v>4.6531323788459602</v>
      </c>
      <c r="AL16" s="6">
        <f t="shared" si="28"/>
        <v>9.3062647576919204</v>
      </c>
      <c r="AM16" s="6">
        <f t="shared" si="29"/>
        <v>13.959397136537881</v>
      </c>
      <c r="AN16" s="6">
        <f t="shared" si="30"/>
        <v>18.612529515383841</v>
      </c>
      <c r="AP16" s="2">
        <v>250</v>
      </c>
      <c r="AQ16" s="2">
        <f t="shared" si="10"/>
        <v>523.15</v>
      </c>
      <c r="AR16" s="6">
        <f t="shared" si="31"/>
        <v>0.47008890694268862</v>
      </c>
      <c r="AS16" s="6">
        <f t="shared" si="32"/>
        <v>2.3504445347134433</v>
      </c>
      <c r="AT16" s="6">
        <f t="shared" si="33"/>
        <v>4.7008890694268866</v>
      </c>
      <c r="AU16" s="6">
        <f t="shared" si="34"/>
        <v>7.0513336041403294</v>
      </c>
      <c r="AV16" s="6">
        <f t="shared" si="35"/>
        <v>9.4017781388537731</v>
      </c>
    </row>
    <row r="17" spans="2:48" x14ac:dyDescent="0.35">
      <c r="B17" s="2">
        <v>300</v>
      </c>
      <c r="C17" s="2">
        <f t="shared" si="0"/>
        <v>573.15</v>
      </c>
      <c r="D17" s="6">
        <f t="shared" si="1"/>
        <v>8.5118485092165963E-2</v>
      </c>
      <c r="E17" s="6">
        <f t="shared" si="2"/>
        <v>0.42559242546082987</v>
      </c>
      <c r="F17" s="6">
        <f t="shared" si="3"/>
        <v>0.85118485092165974</v>
      </c>
      <c r="G17" s="6">
        <f t="shared" si="4"/>
        <v>1.2767772763824896</v>
      </c>
      <c r="H17" s="6">
        <f t="shared" si="5"/>
        <v>1.7023697018433195</v>
      </c>
      <c r="I17" s="2"/>
      <c r="J17" s="2">
        <v>300</v>
      </c>
      <c r="K17" s="2">
        <f t="shared" si="6"/>
        <v>573.15</v>
      </c>
      <c r="L17" s="6">
        <f t="shared" si="11"/>
        <v>0.59565928625701869</v>
      </c>
      <c r="M17" s="6">
        <f t="shared" si="12"/>
        <v>2.9782964312850932</v>
      </c>
      <c r="N17" s="6">
        <f t="shared" si="13"/>
        <v>5.9565928625701865</v>
      </c>
      <c r="O17" s="6">
        <f t="shared" si="14"/>
        <v>8.9348892938552797</v>
      </c>
      <c r="P17" s="6">
        <f t="shared" si="15"/>
        <v>11.913185725140373</v>
      </c>
      <c r="R17" s="2">
        <v>300</v>
      </c>
      <c r="S17" s="2">
        <f t="shared" si="7"/>
        <v>573.15</v>
      </c>
      <c r="T17" s="6">
        <f t="shared" si="16"/>
        <v>2.7917076961654939</v>
      </c>
      <c r="U17" s="6">
        <f t="shared" si="17"/>
        <v>13.958538480827469</v>
      </c>
      <c r="V17" s="6">
        <f t="shared" si="18"/>
        <v>27.917076961654939</v>
      </c>
      <c r="W17" s="6">
        <f t="shared" si="19"/>
        <v>41.875615442482406</v>
      </c>
      <c r="X17" s="6">
        <f t="shared" si="20"/>
        <v>55.834153923309877</v>
      </c>
      <c r="Z17" s="2">
        <v>300</v>
      </c>
      <c r="AA17" s="2">
        <f t="shared" si="8"/>
        <v>573.15</v>
      </c>
      <c r="AB17" s="6">
        <f t="shared" si="21"/>
        <v>1.7818958408002772</v>
      </c>
      <c r="AC17" s="6">
        <f t="shared" si="22"/>
        <v>8.9094792040013857</v>
      </c>
      <c r="AD17" s="6">
        <f t="shared" si="23"/>
        <v>17.818958408002771</v>
      </c>
      <c r="AE17" s="6">
        <f t="shared" si="24"/>
        <v>26.728437612004157</v>
      </c>
      <c r="AF17" s="6">
        <f t="shared" si="25"/>
        <v>35.637916816005543</v>
      </c>
      <c r="AH17" s="2">
        <v>300</v>
      </c>
      <c r="AI17" s="2">
        <f t="shared" si="9"/>
        <v>573.15</v>
      </c>
      <c r="AJ17" s="6">
        <f t="shared" si="26"/>
        <v>0.84944122969319169</v>
      </c>
      <c r="AK17" s="6">
        <f t="shared" si="27"/>
        <v>4.247206148465958</v>
      </c>
      <c r="AL17" s="6">
        <f t="shared" si="28"/>
        <v>8.494412296931916</v>
      </c>
      <c r="AM17" s="6">
        <f t="shared" si="29"/>
        <v>12.741618445397876</v>
      </c>
      <c r="AN17" s="6">
        <f t="shared" si="30"/>
        <v>16.988824593863832</v>
      </c>
      <c r="AP17" s="2">
        <v>300</v>
      </c>
      <c r="AQ17" s="2">
        <f t="shared" si="10"/>
        <v>573.15</v>
      </c>
      <c r="AR17" s="6">
        <f t="shared" si="31"/>
        <v>0.42907966791776597</v>
      </c>
      <c r="AS17" s="6">
        <f t="shared" si="32"/>
        <v>2.1453983395888301</v>
      </c>
      <c r="AT17" s="6">
        <f t="shared" si="33"/>
        <v>4.2907966791776602</v>
      </c>
      <c r="AU17" s="6">
        <f t="shared" si="34"/>
        <v>6.4361950187664894</v>
      </c>
      <c r="AV17" s="6">
        <f t="shared" si="35"/>
        <v>8.5815933583553203</v>
      </c>
    </row>
    <row r="18" spans="2:48" x14ac:dyDescent="0.35">
      <c r="B18" s="2">
        <v>350</v>
      </c>
      <c r="C18" s="2">
        <f t="shared" si="0"/>
        <v>623.15</v>
      </c>
      <c r="D18" s="6">
        <f t="shared" si="1"/>
        <v>7.8288790388469753E-2</v>
      </c>
      <c r="E18" s="6">
        <f t="shared" si="2"/>
        <v>0.39144395194234877</v>
      </c>
      <c r="F18" s="6">
        <f t="shared" si="3"/>
        <v>0.78288790388469753</v>
      </c>
      <c r="G18" s="6">
        <f t="shared" si="4"/>
        <v>1.1743318558270464</v>
      </c>
      <c r="H18" s="6">
        <f t="shared" si="5"/>
        <v>1.5657758077693951</v>
      </c>
      <c r="I18" s="2"/>
      <c r="J18" s="2">
        <v>350</v>
      </c>
      <c r="K18" s="2">
        <f t="shared" si="6"/>
        <v>623.15</v>
      </c>
      <c r="L18" s="6">
        <f t="shared" si="11"/>
        <v>0.5478650724836881</v>
      </c>
      <c r="M18" s="6">
        <f t="shared" si="12"/>
        <v>2.7393253624184406</v>
      </c>
      <c r="N18" s="6">
        <f t="shared" si="13"/>
        <v>5.4786507248368812</v>
      </c>
      <c r="O18" s="6">
        <f t="shared" si="14"/>
        <v>8.2179760872553214</v>
      </c>
      <c r="P18" s="6">
        <f t="shared" si="15"/>
        <v>10.957301449673762</v>
      </c>
      <c r="R18" s="2">
        <v>350</v>
      </c>
      <c r="S18" s="2">
        <f t="shared" si="7"/>
        <v>623.15</v>
      </c>
      <c r="T18" s="6">
        <f t="shared" si="16"/>
        <v>2.567708041494428</v>
      </c>
      <c r="U18" s="6">
        <f t="shared" si="17"/>
        <v>12.838540207472141</v>
      </c>
      <c r="V18" s="6">
        <f t="shared" si="18"/>
        <v>25.677080414944282</v>
      </c>
      <c r="W18" s="6">
        <f t="shared" si="19"/>
        <v>38.515620622416421</v>
      </c>
      <c r="X18" s="6">
        <f t="shared" si="20"/>
        <v>51.354160829888563</v>
      </c>
      <c r="Z18" s="2">
        <v>350</v>
      </c>
      <c r="AA18" s="2">
        <f t="shared" si="8"/>
        <v>623.15</v>
      </c>
      <c r="AB18" s="6">
        <f t="shared" si="21"/>
        <v>1.6389209679125072</v>
      </c>
      <c r="AC18" s="6">
        <f t="shared" si="22"/>
        <v>8.1946048395625368</v>
      </c>
      <c r="AD18" s="6">
        <f t="shared" si="23"/>
        <v>16.389209679125074</v>
      </c>
      <c r="AE18" s="6">
        <f t="shared" si="24"/>
        <v>24.583814518687607</v>
      </c>
      <c r="AF18" s="6">
        <f t="shared" si="25"/>
        <v>32.778419358250147</v>
      </c>
      <c r="AH18" s="2">
        <v>350</v>
      </c>
      <c r="AI18" s="2">
        <f t="shared" si="9"/>
        <v>623.15</v>
      </c>
      <c r="AJ18" s="6">
        <f t="shared" si="26"/>
        <v>0.78128418646979514</v>
      </c>
      <c r="AK18" s="6">
        <f t="shared" si="27"/>
        <v>3.9064209323489756</v>
      </c>
      <c r="AL18" s="6">
        <f t="shared" si="28"/>
        <v>7.8128418646979512</v>
      </c>
      <c r="AM18" s="6">
        <f t="shared" si="29"/>
        <v>11.719262797046927</v>
      </c>
      <c r="AN18" s="6">
        <f t="shared" si="30"/>
        <v>15.625683729395902</v>
      </c>
      <c r="AP18" s="2">
        <v>350</v>
      </c>
      <c r="AQ18" s="2">
        <f t="shared" si="10"/>
        <v>623.15</v>
      </c>
      <c r="AR18" s="6">
        <f t="shared" si="31"/>
        <v>0.39465138677215372</v>
      </c>
      <c r="AS18" s="6">
        <f t="shared" si="32"/>
        <v>1.9732569338607686</v>
      </c>
      <c r="AT18" s="6">
        <f t="shared" si="33"/>
        <v>3.9465138677215372</v>
      </c>
      <c r="AU18" s="6">
        <f t="shared" si="34"/>
        <v>5.9197708015823061</v>
      </c>
      <c r="AV18" s="6">
        <f t="shared" si="35"/>
        <v>7.8930277354430745</v>
      </c>
    </row>
    <row r="19" spans="2:48" x14ac:dyDescent="0.35">
      <c r="B19" s="2">
        <v>400</v>
      </c>
      <c r="C19" s="2">
        <f t="shared" si="0"/>
        <v>673.15</v>
      </c>
      <c r="D19" s="6">
        <f t="shared" si="1"/>
        <v>7.247368302841109E-2</v>
      </c>
      <c r="E19" s="6">
        <f t="shared" si="2"/>
        <v>0.36236841514205548</v>
      </c>
      <c r="F19" s="6">
        <f t="shared" si="3"/>
        <v>0.72473683028411096</v>
      </c>
      <c r="G19" s="6">
        <f t="shared" si="4"/>
        <v>1.0871052454261665</v>
      </c>
      <c r="H19" s="6">
        <f t="shared" si="5"/>
        <v>1.4494736605682219</v>
      </c>
      <c r="I19" s="2"/>
      <c r="J19" s="2">
        <v>400</v>
      </c>
      <c r="K19" s="2">
        <f t="shared" si="6"/>
        <v>673.15</v>
      </c>
      <c r="L19" s="6">
        <f t="shared" si="11"/>
        <v>0.50717094246187366</v>
      </c>
      <c r="M19" s="6">
        <f t="shared" si="12"/>
        <v>2.5358547123093684</v>
      </c>
      <c r="N19" s="6">
        <f t="shared" si="13"/>
        <v>5.0717094246187369</v>
      </c>
      <c r="O19" s="6">
        <f t="shared" si="14"/>
        <v>7.6075641369281044</v>
      </c>
      <c r="P19" s="6">
        <f t="shared" si="15"/>
        <v>10.143418849237474</v>
      </c>
      <c r="R19" s="2">
        <v>400</v>
      </c>
      <c r="S19" s="2">
        <f t="shared" si="7"/>
        <v>673.15</v>
      </c>
      <c r="T19" s="6">
        <f t="shared" si="16"/>
        <v>2.3769847226580301</v>
      </c>
      <c r="U19" s="6">
        <f t="shared" si="17"/>
        <v>11.88492361329015</v>
      </c>
      <c r="V19" s="6">
        <f t="shared" si="18"/>
        <v>23.7698472265803</v>
      </c>
      <c r="W19" s="6">
        <f t="shared" si="19"/>
        <v>35.654770839870444</v>
      </c>
      <c r="X19" s="6">
        <f t="shared" si="20"/>
        <v>47.5396944531606</v>
      </c>
      <c r="Z19" s="2">
        <v>400</v>
      </c>
      <c r="AA19" s="2">
        <f t="shared" si="8"/>
        <v>673.15</v>
      </c>
      <c r="AB19" s="6">
        <f t="shared" si="21"/>
        <v>1.5171857701176243</v>
      </c>
      <c r="AC19" s="6">
        <f t="shared" si="22"/>
        <v>7.5859288505881226</v>
      </c>
      <c r="AD19" s="6">
        <f t="shared" si="23"/>
        <v>15.171857701176245</v>
      </c>
      <c r="AE19" s="6">
        <f t="shared" si="24"/>
        <v>22.757786551764365</v>
      </c>
      <c r="AF19" s="6">
        <f t="shared" si="25"/>
        <v>30.34371540235249</v>
      </c>
      <c r="AH19" s="2">
        <v>400</v>
      </c>
      <c r="AI19" s="2">
        <f t="shared" si="9"/>
        <v>673.15</v>
      </c>
      <c r="AJ19" s="6">
        <f t="shared" si="26"/>
        <v>0.72325223322981924</v>
      </c>
      <c r="AK19" s="6">
        <f t="shared" si="27"/>
        <v>3.6162611661490964</v>
      </c>
      <c r="AL19" s="6">
        <f t="shared" si="28"/>
        <v>7.2325223322981929</v>
      </c>
      <c r="AM19" s="6">
        <f t="shared" si="29"/>
        <v>10.84878349844729</v>
      </c>
      <c r="AN19" s="6">
        <f t="shared" si="30"/>
        <v>14.465044664596386</v>
      </c>
      <c r="AP19" s="2">
        <v>400</v>
      </c>
      <c r="AQ19" s="2">
        <f t="shared" si="10"/>
        <v>673.15</v>
      </c>
      <c r="AR19" s="6">
        <f t="shared" si="31"/>
        <v>0.36533760925063891</v>
      </c>
      <c r="AS19" s="6">
        <f t="shared" si="32"/>
        <v>1.8266880462531947</v>
      </c>
      <c r="AT19" s="6">
        <f t="shared" si="33"/>
        <v>3.6533760925063894</v>
      </c>
      <c r="AU19" s="6">
        <f t="shared" si="34"/>
        <v>5.4800641387595839</v>
      </c>
      <c r="AV19" s="6">
        <f t="shared" si="35"/>
        <v>7.3067521850127788</v>
      </c>
    </row>
    <row r="20" spans="2:48" x14ac:dyDescent="0.35">
      <c r="B20" s="2">
        <v>450</v>
      </c>
      <c r="C20" s="2">
        <f t="shared" si="0"/>
        <v>723.15</v>
      </c>
      <c r="D20" s="6">
        <f t="shared" si="1"/>
        <v>6.7462711374645545E-2</v>
      </c>
      <c r="E20" s="6">
        <f t="shared" si="2"/>
        <v>0.33731355687322778</v>
      </c>
      <c r="F20" s="6">
        <f t="shared" si="3"/>
        <v>0.67462711374645556</v>
      </c>
      <c r="G20" s="6">
        <f t="shared" si="4"/>
        <v>1.0119406706196832</v>
      </c>
      <c r="H20" s="6">
        <f t="shared" si="5"/>
        <v>1.3492542274929111</v>
      </c>
      <c r="I20" s="2"/>
      <c r="J20" s="2">
        <v>450</v>
      </c>
      <c r="K20" s="2">
        <f t="shared" si="6"/>
        <v>723.15</v>
      </c>
      <c r="L20" s="6">
        <f t="shared" si="11"/>
        <v>0.47210415531799804</v>
      </c>
      <c r="M20" s="6">
        <f t="shared" si="12"/>
        <v>2.3605207765899903</v>
      </c>
      <c r="N20" s="6">
        <f t="shared" si="13"/>
        <v>4.7210415531799805</v>
      </c>
      <c r="O20" s="6">
        <f t="shared" si="14"/>
        <v>7.0815623297699704</v>
      </c>
      <c r="P20" s="6">
        <f t="shared" si="15"/>
        <v>9.4420831063599611</v>
      </c>
      <c r="R20" s="2">
        <v>450</v>
      </c>
      <c r="S20" s="2">
        <f t="shared" si="7"/>
        <v>723.15</v>
      </c>
      <c r="T20" s="6">
        <f t="shared" si="16"/>
        <v>2.2126353675686277</v>
      </c>
      <c r="U20" s="6">
        <f t="shared" si="17"/>
        <v>11.063176837843137</v>
      </c>
      <c r="V20" s="6">
        <f t="shared" si="18"/>
        <v>22.126353675686275</v>
      </c>
      <c r="W20" s="6">
        <f t="shared" si="19"/>
        <v>33.189530513529412</v>
      </c>
      <c r="X20" s="6">
        <f t="shared" si="20"/>
        <v>44.25270735137255</v>
      </c>
      <c r="Z20" s="2">
        <v>450</v>
      </c>
      <c r="AA20" s="2">
        <f t="shared" si="8"/>
        <v>723.15</v>
      </c>
      <c r="AB20" s="6">
        <f t="shared" si="21"/>
        <v>1.4122845898564322</v>
      </c>
      <c r="AC20" s="6">
        <f t="shared" si="22"/>
        <v>7.0614229492821616</v>
      </c>
      <c r="AD20" s="6">
        <f t="shared" si="23"/>
        <v>14.122845898564323</v>
      </c>
      <c r="AE20" s="6">
        <f t="shared" si="24"/>
        <v>21.184268847846482</v>
      </c>
      <c r="AF20" s="6">
        <f t="shared" si="25"/>
        <v>28.245691797128647</v>
      </c>
      <c r="AH20" s="2">
        <v>450</v>
      </c>
      <c r="AI20" s="2">
        <f t="shared" si="9"/>
        <v>723.15</v>
      </c>
      <c r="AJ20" s="6">
        <f t="shared" si="26"/>
        <v>0.6732451646251163</v>
      </c>
      <c r="AK20" s="6">
        <f t="shared" si="27"/>
        <v>3.3662258231255815</v>
      </c>
      <c r="AL20" s="6">
        <f t="shared" si="28"/>
        <v>6.732451646251163</v>
      </c>
      <c r="AM20" s="6">
        <f t="shared" si="29"/>
        <v>10.098677469376744</v>
      </c>
      <c r="AN20" s="6">
        <f t="shared" si="30"/>
        <v>13.464903292502326</v>
      </c>
      <c r="AP20" s="2">
        <v>450</v>
      </c>
      <c r="AQ20" s="2">
        <f t="shared" si="10"/>
        <v>723.15</v>
      </c>
      <c r="AR20" s="6">
        <f t="shared" si="31"/>
        <v>0.34007745511590626</v>
      </c>
      <c r="AS20" s="6">
        <f t="shared" si="32"/>
        <v>1.7003872755795313</v>
      </c>
      <c r="AT20" s="6">
        <f t="shared" si="33"/>
        <v>3.4007745511590626</v>
      </c>
      <c r="AU20" s="6">
        <f t="shared" si="34"/>
        <v>5.1011618267385934</v>
      </c>
      <c r="AV20" s="6">
        <f t="shared" si="35"/>
        <v>6.8015491023181252</v>
      </c>
    </row>
    <row r="21" spans="2:48" x14ac:dyDescent="0.35">
      <c r="B21" s="2">
        <v>500</v>
      </c>
      <c r="C21" s="2">
        <f t="shared" si="0"/>
        <v>773.15</v>
      </c>
      <c r="D21" s="6">
        <f t="shared" si="1"/>
        <v>6.3099863843464943E-2</v>
      </c>
      <c r="E21" s="6">
        <f t="shared" si="2"/>
        <v>0.31549931921732477</v>
      </c>
      <c r="F21" s="6">
        <f t="shared" si="3"/>
        <v>0.63099863843464954</v>
      </c>
      <c r="G21" s="6">
        <f t="shared" si="4"/>
        <v>0.9464979576519742</v>
      </c>
      <c r="H21" s="6">
        <f t="shared" si="5"/>
        <v>1.2619972768692991</v>
      </c>
      <c r="I21" s="2"/>
      <c r="J21" s="2">
        <v>500</v>
      </c>
      <c r="K21" s="2">
        <f t="shared" si="6"/>
        <v>773.15</v>
      </c>
      <c r="L21" s="6">
        <f t="shared" si="11"/>
        <v>0.44157294175542944</v>
      </c>
      <c r="M21" s="6">
        <f t="shared" si="12"/>
        <v>2.207864708777147</v>
      </c>
      <c r="N21" s="6">
        <f t="shared" si="13"/>
        <v>4.415729417554294</v>
      </c>
      <c r="O21" s="6">
        <f t="shared" si="14"/>
        <v>6.6235941263314402</v>
      </c>
      <c r="P21" s="6">
        <f t="shared" si="15"/>
        <v>8.8314588351085881</v>
      </c>
      <c r="R21" s="2">
        <v>500</v>
      </c>
      <c r="S21" s="2">
        <f t="shared" si="7"/>
        <v>773.15</v>
      </c>
      <c r="T21" s="6">
        <f t="shared" si="16"/>
        <v>2.069543123659384</v>
      </c>
      <c r="U21" s="6">
        <f t="shared" si="17"/>
        <v>10.34771561829692</v>
      </c>
      <c r="V21" s="6">
        <f t="shared" si="18"/>
        <v>20.695431236593841</v>
      </c>
      <c r="W21" s="6">
        <f t="shared" si="19"/>
        <v>31.043146854890757</v>
      </c>
      <c r="X21" s="6">
        <f t="shared" si="20"/>
        <v>41.390862473187681</v>
      </c>
      <c r="Z21" s="2">
        <v>500</v>
      </c>
      <c r="AA21" s="2">
        <f t="shared" si="8"/>
        <v>773.15</v>
      </c>
      <c r="AB21" s="6">
        <f t="shared" si="21"/>
        <v>1.320951433945132</v>
      </c>
      <c r="AC21" s="6">
        <f t="shared" si="22"/>
        <v>6.6047571697256604</v>
      </c>
      <c r="AD21" s="6">
        <f t="shared" si="23"/>
        <v>13.209514339451321</v>
      </c>
      <c r="AE21" s="6">
        <f t="shared" si="24"/>
        <v>19.814271509176979</v>
      </c>
      <c r="AF21" s="6">
        <f t="shared" si="25"/>
        <v>26.419028678902642</v>
      </c>
      <c r="AH21" s="2">
        <v>500</v>
      </c>
      <c r="AI21" s="2">
        <f t="shared" si="9"/>
        <v>773.15</v>
      </c>
      <c r="AJ21" s="6">
        <f t="shared" si="26"/>
        <v>0.6297060606591901</v>
      </c>
      <c r="AK21" s="6">
        <f t="shared" si="27"/>
        <v>3.1485303032959502</v>
      </c>
      <c r="AL21" s="6">
        <f t="shared" si="28"/>
        <v>6.2970606065919004</v>
      </c>
      <c r="AM21" s="6">
        <f t="shared" si="29"/>
        <v>9.4455909098878514</v>
      </c>
      <c r="AN21" s="6">
        <f t="shared" si="30"/>
        <v>12.594121213183801</v>
      </c>
      <c r="AP21" s="2">
        <v>500</v>
      </c>
      <c r="AQ21" s="2">
        <f t="shared" si="10"/>
        <v>773.15</v>
      </c>
      <c r="AR21" s="6">
        <f t="shared" si="31"/>
        <v>0.31808447476824364</v>
      </c>
      <c r="AS21" s="6">
        <f t="shared" si="32"/>
        <v>1.5904223738412182</v>
      </c>
      <c r="AT21" s="6">
        <f t="shared" si="33"/>
        <v>3.1808447476824364</v>
      </c>
      <c r="AU21" s="6">
        <f t="shared" si="34"/>
        <v>4.7712671215236542</v>
      </c>
      <c r="AV21" s="6">
        <f t="shared" si="35"/>
        <v>6.3616894953648728</v>
      </c>
    </row>
    <row r="22" spans="2:48" x14ac:dyDescent="0.35">
      <c r="B22" s="2">
        <v>550</v>
      </c>
      <c r="C22" s="2">
        <f t="shared" si="0"/>
        <v>823.15</v>
      </c>
      <c r="D22" s="6">
        <f t="shared" si="1"/>
        <v>5.926703484246483E-2</v>
      </c>
      <c r="E22" s="6">
        <f t="shared" si="2"/>
        <v>0.29633517421232414</v>
      </c>
      <c r="F22" s="6">
        <f t="shared" si="3"/>
        <v>0.59267034842464827</v>
      </c>
      <c r="G22" s="6">
        <f t="shared" si="4"/>
        <v>0.88900552263697241</v>
      </c>
      <c r="H22" s="6">
        <f t="shared" si="5"/>
        <v>1.1853406968492965</v>
      </c>
      <c r="I22" s="2"/>
      <c r="J22" s="2">
        <v>550</v>
      </c>
      <c r="K22" s="2">
        <f t="shared" si="6"/>
        <v>823.15</v>
      </c>
      <c r="L22" s="6">
        <f t="shared" si="11"/>
        <v>0.41475079866149578</v>
      </c>
      <c r="M22" s="6">
        <f t="shared" si="12"/>
        <v>2.0737539933074789</v>
      </c>
      <c r="N22" s="6">
        <f t="shared" si="13"/>
        <v>4.1475079866149578</v>
      </c>
      <c r="O22" s="6">
        <f t="shared" si="14"/>
        <v>6.2212619799224358</v>
      </c>
      <c r="P22" s="6">
        <f t="shared" si="15"/>
        <v>8.2950159732299156</v>
      </c>
      <c r="R22" s="2">
        <v>550</v>
      </c>
      <c r="S22" s="2">
        <f t="shared" si="7"/>
        <v>823.15</v>
      </c>
      <c r="T22" s="6">
        <f t="shared" si="16"/>
        <v>1.9438343753353007</v>
      </c>
      <c r="U22" s="6">
        <f t="shared" si="17"/>
        <v>9.7191718766765032</v>
      </c>
      <c r="V22" s="6">
        <f t="shared" si="18"/>
        <v>19.438343753353006</v>
      </c>
      <c r="W22" s="6">
        <f t="shared" si="19"/>
        <v>29.157515630029508</v>
      </c>
      <c r="X22" s="6">
        <f t="shared" si="20"/>
        <v>38.876687506706013</v>
      </c>
      <c r="Z22" s="2">
        <v>550</v>
      </c>
      <c r="AA22" s="2">
        <f t="shared" si="8"/>
        <v>823.15</v>
      </c>
      <c r="AB22" s="6">
        <f t="shared" si="21"/>
        <v>1.2407138445662138</v>
      </c>
      <c r="AC22" s="6">
        <f t="shared" si="22"/>
        <v>6.203569222831069</v>
      </c>
      <c r="AD22" s="6">
        <f t="shared" si="23"/>
        <v>12.407138445662138</v>
      </c>
      <c r="AE22" s="6">
        <f t="shared" si="24"/>
        <v>18.610707668493205</v>
      </c>
      <c r="AF22" s="6">
        <f t="shared" si="25"/>
        <v>24.814276891324276</v>
      </c>
      <c r="AH22" s="2">
        <v>550</v>
      </c>
      <c r="AI22" s="2">
        <f t="shared" si="9"/>
        <v>823.15</v>
      </c>
      <c r="AJ22" s="6">
        <f t="shared" si="26"/>
        <v>0.59145628475812773</v>
      </c>
      <c r="AK22" s="6">
        <f t="shared" si="27"/>
        <v>2.9572814237906382</v>
      </c>
      <c r="AL22" s="6">
        <f t="shared" si="28"/>
        <v>5.9145628475812764</v>
      </c>
      <c r="AM22" s="6">
        <f t="shared" si="29"/>
        <v>8.8718442713719163</v>
      </c>
      <c r="AN22" s="6">
        <f t="shared" si="30"/>
        <v>11.829125695162553</v>
      </c>
      <c r="AP22" s="2">
        <v>550</v>
      </c>
      <c r="AQ22" s="2">
        <f t="shared" si="10"/>
        <v>823.15</v>
      </c>
      <c r="AR22" s="6">
        <f t="shared" si="31"/>
        <v>0.29876330154536546</v>
      </c>
      <c r="AS22" s="6">
        <f t="shared" si="32"/>
        <v>1.4938165077268273</v>
      </c>
      <c r="AT22" s="6">
        <f t="shared" si="33"/>
        <v>2.9876330154536546</v>
      </c>
      <c r="AU22" s="6">
        <f t="shared" si="34"/>
        <v>4.4814495231804816</v>
      </c>
      <c r="AV22" s="6">
        <f t="shared" si="35"/>
        <v>5.9752660309073091</v>
      </c>
    </row>
    <row r="23" spans="2:48" x14ac:dyDescent="0.35">
      <c r="B23" s="2">
        <v>600</v>
      </c>
      <c r="C23" s="2">
        <f t="shared" si="0"/>
        <v>873.15</v>
      </c>
      <c r="D23" s="6">
        <f t="shared" si="1"/>
        <v>5.5873171540485517E-2</v>
      </c>
      <c r="E23" s="6">
        <f t="shared" si="2"/>
        <v>0.27936585770242756</v>
      </c>
      <c r="F23" s="6">
        <f t="shared" si="3"/>
        <v>0.55873171540485511</v>
      </c>
      <c r="G23" s="6">
        <f t="shared" si="4"/>
        <v>0.83809757310728272</v>
      </c>
      <c r="H23" s="6">
        <f t="shared" si="5"/>
        <v>1.1174634308097102</v>
      </c>
      <c r="I23" s="2"/>
      <c r="J23" s="2">
        <v>600</v>
      </c>
      <c r="K23" s="2">
        <f t="shared" si="6"/>
        <v>873.15</v>
      </c>
      <c r="L23" s="6">
        <f t="shared" si="11"/>
        <v>0.39100053818726482</v>
      </c>
      <c r="M23" s="6">
        <f t="shared" si="12"/>
        <v>1.9550026909363238</v>
      </c>
      <c r="N23" s="6">
        <f t="shared" si="13"/>
        <v>3.9100053818726477</v>
      </c>
      <c r="O23" s="6">
        <f t="shared" si="14"/>
        <v>5.8650080728089717</v>
      </c>
      <c r="P23" s="6">
        <f t="shared" si="15"/>
        <v>7.8200107637452954</v>
      </c>
      <c r="R23" s="2">
        <v>600</v>
      </c>
      <c r="S23" s="2">
        <f t="shared" si="7"/>
        <v>873.15</v>
      </c>
      <c r="T23" s="6">
        <f t="shared" si="16"/>
        <v>1.8325227808019846</v>
      </c>
      <c r="U23" s="6">
        <f t="shared" si="17"/>
        <v>9.1626139040099233</v>
      </c>
      <c r="V23" s="6">
        <f t="shared" si="18"/>
        <v>18.325227808019847</v>
      </c>
      <c r="W23" s="6">
        <f t="shared" si="19"/>
        <v>27.487841712029766</v>
      </c>
      <c r="X23" s="6">
        <f t="shared" si="20"/>
        <v>36.650455616039693</v>
      </c>
      <c r="Z23" s="2">
        <v>600</v>
      </c>
      <c r="AA23" s="2">
        <f t="shared" si="8"/>
        <v>873.15</v>
      </c>
      <c r="AB23" s="6">
        <f t="shared" si="21"/>
        <v>1.169665694502295</v>
      </c>
      <c r="AC23" s="6">
        <f t="shared" si="22"/>
        <v>5.8483284725114757</v>
      </c>
      <c r="AD23" s="6">
        <f t="shared" si="23"/>
        <v>11.696656945022951</v>
      </c>
      <c r="AE23" s="6">
        <f t="shared" si="24"/>
        <v>17.544985417534424</v>
      </c>
      <c r="AF23" s="6">
        <f t="shared" si="25"/>
        <v>23.393313890045903</v>
      </c>
      <c r="AH23" s="2">
        <v>600</v>
      </c>
      <c r="AI23" s="2">
        <f t="shared" si="9"/>
        <v>873.15</v>
      </c>
      <c r="AJ23" s="6">
        <f t="shared" si="26"/>
        <v>0.55758717379448297</v>
      </c>
      <c r="AK23" s="6">
        <f t="shared" si="27"/>
        <v>2.787935868972415</v>
      </c>
      <c r="AL23" s="6">
        <f t="shared" si="28"/>
        <v>5.5758717379448299</v>
      </c>
      <c r="AM23" s="6">
        <f t="shared" si="29"/>
        <v>8.3638076069172449</v>
      </c>
      <c r="AN23" s="6">
        <f t="shared" si="30"/>
        <v>11.15174347588966</v>
      </c>
      <c r="AP23" s="2">
        <v>600</v>
      </c>
      <c r="AQ23" s="2">
        <f t="shared" si="10"/>
        <v>873.15</v>
      </c>
      <c r="AR23" s="6">
        <f t="shared" si="31"/>
        <v>0.28165494092317195</v>
      </c>
      <c r="AS23" s="6">
        <f t="shared" si="32"/>
        <v>1.4082747046158597</v>
      </c>
      <c r="AT23" s="6">
        <f t="shared" si="33"/>
        <v>2.8165494092317194</v>
      </c>
      <c r="AU23" s="6">
        <f t="shared" si="34"/>
        <v>4.2248241138475793</v>
      </c>
      <c r="AV23" s="6">
        <f t="shared" si="35"/>
        <v>5.6330988184634387</v>
      </c>
    </row>
    <row r="24" spans="2:48" x14ac:dyDescent="0.35">
      <c r="B24" s="2">
        <v>650</v>
      </c>
      <c r="C24" s="2">
        <f t="shared" si="0"/>
        <v>923.15</v>
      </c>
      <c r="D24" s="6">
        <f t="shared" si="1"/>
        <v>5.2846947658099906E-2</v>
      </c>
      <c r="E24" s="6">
        <f t="shared" si="2"/>
        <v>0.26423473829049954</v>
      </c>
      <c r="F24" s="6">
        <f t="shared" si="3"/>
        <v>0.52846947658099908</v>
      </c>
      <c r="G24" s="6">
        <f t="shared" si="4"/>
        <v>0.79270421487149856</v>
      </c>
      <c r="H24" s="6">
        <f t="shared" si="5"/>
        <v>1.0569389531619982</v>
      </c>
      <c r="I24" s="2"/>
      <c r="J24" s="2">
        <v>650</v>
      </c>
      <c r="K24" s="2">
        <f t="shared" si="6"/>
        <v>923.15</v>
      </c>
      <c r="L24" s="6">
        <f t="shared" si="11"/>
        <v>0.36982301892239644</v>
      </c>
      <c r="M24" s="6">
        <f t="shared" si="12"/>
        <v>1.8491150946119821</v>
      </c>
      <c r="N24" s="6">
        <f t="shared" si="13"/>
        <v>3.6982301892239642</v>
      </c>
      <c r="O24" s="6">
        <f t="shared" si="14"/>
        <v>5.5473452838359458</v>
      </c>
      <c r="P24" s="6">
        <f t="shared" si="15"/>
        <v>7.3964603784479284</v>
      </c>
      <c r="R24" s="2">
        <v>650</v>
      </c>
      <c r="S24" s="2">
        <f t="shared" si="7"/>
        <v>923.15</v>
      </c>
      <c r="T24" s="6">
        <f t="shared" si="16"/>
        <v>1.733268987767159</v>
      </c>
      <c r="U24" s="6">
        <f t="shared" si="17"/>
        <v>8.6663449388357954</v>
      </c>
      <c r="V24" s="6">
        <f t="shared" si="18"/>
        <v>17.332689877671591</v>
      </c>
      <c r="W24" s="6">
        <f t="shared" si="19"/>
        <v>25.999034816507383</v>
      </c>
      <c r="X24" s="6">
        <f t="shared" si="20"/>
        <v>34.665379755343182</v>
      </c>
      <c r="Z24" s="2">
        <v>650</v>
      </c>
      <c r="AA24" s="2">
        <f t="shared" si="8"/>
        <v>923.15</v>
      </c>
      <c r="AB24" s="6">
        <f t="shared" si="21"/>
        <v>1.106313818073638</v>
      </c>
      <c r="AC24" s="6">
        <f t="shared" si="22"/>
        <v>5.5315690903681904</v>
      </c>
      <c r="AD24" s="6">
        <f t="shared" si="23"/>
        <v>11.063138180736381</v>
      </c>
      <c r="AE24" s="6">
        <f t="shared" si="24"/>
        <v>16.594707271104568</v>
      </c>
      <c r="AF24" s="6">
        <f t="shared" si="25"/>
        <v>22.126276361472762</v>
      </c>
      <c r="AH24" s="2">
        <v>650</v>
      </c>
      <c r="AI24" s="2">
        <f t="shared" si="9"/>
        <v>923.15</v>
      </c>
      <c r="AJ24" s="6">
        <f t="shared" si="26"/>
        <v>0.52738692606689364</v>
      </c>
      <c r="AK24" s="6">
        <f t="shared" si="27"/>
        <v>2.6369346303344678</v>
      </c>
      <c r="AL24" s="6">
        <f t="shared" si="28"/>
        <v>5.2738692606689357</v>
      </c>
      <c r="AM24" s="6">
        <f t="shared" si="29"/>
        <v>7.9108038910034049</v>
      </c>
      <c r="AN24" s="6">
        <f t="shared" si="30"/>
        <v>10.547738521337871</v>
      </c>
      <c r="AP24" s="2">
        <v>650</v>
      </c>
      <c r="AQ24" s="2">
        <f t="shared" si="10"/>
        <v>923.15</v>
      </c>
      <c r="AR24" s="6">
        <f t="shared" si="31"/>
        <v>0.26639983931871047</v>
      </c>
      <c r="AS24" s="6">
        <f t="shared" si="32"/>
        <v>1.3319991965935525</v>
      </c>
      <c r="AT24" s="6">
        <f t="shared" si="33"/>
        <v>2.663998393187105</v>
      </c>
      <c r="AU24" s="6">
        <f t="shared" si="34"/>
        <v>3.9959975897806572</v>
      </c>
      <c r="AV24" s="6">
        <f t="shared" si="35"/>
        <v>5.3279967863742099</v>
      </c>
    </row>
    <row r="25" spans="2:48" x14ac:dyDescent="0.35">
      <c r="B25" s="2">
        <v>700</v>
      </c>
      <c r="C25" s="2">
        <f t="shared" si="0"/>
        <v>973.15</v>
      </c>
      <c r="D25" s="6">
        <f t="shared" si="1"/>
        <v>5.0131695761778686E-2</v>
      </c>
      <c r="E25" s="6">
        <f t="shared" si="2"/>
        <v>0.25065847880889341</v>
      </c>
      <c r="F25" s="6">
        <f t="shared" si="3"/>
        <v>0.50131695761778683</v>
      </c>
      <c r="G25" s="6">
        <f t="shared" si="4"/>
        <v>0.7519754364266803</v>
      </c>
      <c r="H25" s="6">
        <f t="shared" si="5"/>
        <v>1.0026339152355737</v>
      </c>
      <c r="I25" s="2"/>
      <c r="J25" s="2">
        <v>700</v>
      </c>
      <c r="K25" s="2">
        <f t="shared" si="6"/>
        <v>973.15</v>
      </c>
      <c r="L25" s="6">
        <f t="shared" si="11"/>
        <v>0.35082168208211506</v>
      </c>
      <c r="M25" s="6">
        <f t="shared" si="12"/>
        <v>1.7541084104105753</v>
      </c>
      <c r="N25" s="6">
        <f t="shared" si="13"/>
        <v>3.5082168208211506</v>
      </c>
      <c r="O25" s="6">
        <f t="shared" si="14"/>
        <v>5.2623252312317259</v>
      </c>
      <c r="P25" s="6">
        <f t="shared" si="15"/>
        <v>7.0164336416423012</v>
      </c>
      <c r="R25" s="2">
        <v>700</v>
      </c>
      <c r="S25" s="2">
        <f t="shared" si="7"/>
        <v>973.15</v>
      </c>
      <c r="T25" s="6">
        <f t="shared" si="16"/>
        <v>1.6442144233234885</v>
      </c>
      <c r="U25" s="6">
        <f t="shared" si="17"/>
        <v>8.2210721166174423</v>
      </c>
      <c r="V25" s="6">
        <f t="shared" si="18"/>
        <v>16.442144233234885</v>
      </c>
      <c r="W25" s="6">
        <f t="shared" si="19"/>
        <v>24.663216349852327</v>
      </c>
      <c r="X25" s="6">
        <f t="shared" si="20"/>
        <v>32.884288466469769</v>
      </c>
      <c r="Z25" s="2">
        <v>700</v>
      </c>
      <c r="AA25" s="2">
        <f t="shared" si="8"/>
        <v>973.15</v>
      </c>
      <c r="AB25" s="6">
        <f t="shared" si="21"/>
        <v>1.049471922267563</v>
      </c>
      <c r="AC25" s="6">
        <f t="shared" si="22"/>
        <v>5.2473596113378154</v>
      </c>
      <c r="AD25" s="6">
        <f t="shared" si="23"/>
        <v>10.494719222675631</v>
      </c>
      <c r="AE25" s="6">
        <f t="shared" si="24"/>
        <v>15.742078834013444</v>
      </c>
      <c r="AF25" s="6">
        <f t="shared" si="25"/>
        <v>20.989438445351261</v>
      </c>
      <c r="AH25" s="2">
        <v>700</v>
      </c>
      <c r="AI25" s="2">
        <f t="shared" si="9"/>
        <v>973.15</v>
      </c>
      <c r="AJ25" s="6">
        <f t="shared" si="26"/>
        <v>0.50029002805184486</v>
      </c>
      <c r="AK25" s="6">
        <f t="shared" si="27"/>
        <v>2.5014501402592244</v>
      </c>
      <c r="AL25" s="6">
        <f t="shared" si="28"/>
        <v>5.0029002805184488</v>
      </c>
      <c r="AM25" s="6">
        <f t="shared" si="29"/>
        <v>7.5043504207776737</v>
      </c>
      <c r="AN25" s="6">
        <f t="shared" si="30"/>
        <v>10.005800561036898</v>
      </c>
      <c r="AP25" s="2">
        <v>700</v>
      </c>
      <c r="AQ25" s="2">
        <f t="shared" si="10"/>
        <v>973.15</v>
      </c>
      <c r="AR25" s="6">
        <f t="shared" si="31"/>
        <v>0.25271233794077747</v>
      </c>
      <c r="AS25" s="6">
        <f t="shared" si="32"/>
        <v>1.2635616897038873</v>
      </c>
      <c r="AT25" s="6">
        <f t="shared" si="33"/>
        <v>2.5271233794077745</v>
      </c>
      <c r="AU25" s="6">
        <f t="shared" si="34"/>
        <v>3.790685069111662</v>
      </c>
      <c r="AV25" s="6">
        <f t="shared" si="35"/>
        <v>5.0542467588155491</v>
      </c>
    </row>
    <row r="26" spans="2:48" x14ac:dyDescent="0.35">
      <c r="B26" s="2">
        <v>750</v>
      </c>
      <c r="C26" s="2">
        <f t="shared" si="0"/>
        <v>1023.15</v>
      </c>
      <c r="D26" s="6">
        <f t="shared" si="1"/>
        <v>4.7681825470923055E-2</v>
      </c>
      <c r="E26" s="6">
        <f t="shared" si="2"/>
        <v>0.23840912735461528</v>
      </c>
      <c r="F26" s="6">
        <f t="shared" si="3"/>
        <v>0.47681825470923056</v>
      </c>
      <c r="G26" s="6">
        <f t="shared" si="4"/>
        <v>0.71522738206384584</v>
      </c>
      <c r="H26" s="6">
        <f t="shared" si="5"/>
        <v>0.95363650941846112</v>
      </c>
      <c r="I26" s="2"/>
      <c r="J26" s="2">
        <v>750</v>
      </c>
      <c r="K26" s="2">
        <f t="shared" si="6"/>
        <v>1023.15</v>
      </c>
      <c r="L26" s="6">
        <f t="shared" si="11"/>
        <v>0.33367748611465597</v>
      </c>
      <c r="M26" s="6">
        <f t="shared" si="12"/>
        <v>1.6683874305732798</v>
      </c>
      <c r="N26" s="6">
        <f t="shared" si="13"/>
        <v>3.3367748611465595</v>
      </c>
      <c r="O26" s="6">
        <f t="shared" si="14"/>
        <v>5.0051622917198388</v>
      </c>
      <c r="P26" s="6">
        <f t="shared" si="15"/>
        <v>6.673549722293119</v>
      </c>
      <c r="R26" s="2">
        <v>750</v>
      </c>
      <c r="S26" s="2">
        <f t="shared" si="7"/>
        <v>1023.15</v>
      </c>
      <c r="T26" s="6">
        <f t="shared" si="16"/>
        <v>1.5638638186553806</v>
      </c>
      <c r="U26" s="6">
        <f t="shared" si="17"/>
        <v>7.8193190932769037</v>
      </c>
      <c r="V26" s="6">
        <f t="shared" si="18"/>
        <v>15.638638186553807</v>
      </c>
      <c r="W26" s="6">
        <f t="shared" si="19"/>
        <v>23.457957279830708</v>
      </c>
      <c r="X26" s="6">
        <f t="shared" si="20"/>
        <v>31.277276373107615</v>
      </c>
      <c r="Z26" s="2">
        <v>750</v>
      </c>
      <c r="AA26" s="2">
        <f t="shared" si="8"/>
        <v>1023.15</v>
      </c>
      <c r="AB26" s="6">
        <f t="shared" si="21"/>
        <v>0.99818560441252879</v>
      </c>
      <c r="AC26" s="6">
        <f t="shared" si="22"/>
        <v>4.9909280220626444</v>
      </c>
      <c r="AD26" s="6">
        <f t="shared" si="23"/>
        <v>9.9818560441252888</v>
      </c>
      <c r="AE26" s="6">
        <f t="shared" si="24"/>
        <v>14.972784066187931</v>
      </c>
      <c r="AF26" s="6">
        <f t="shared" si="25"/>
        <v>19.963712088250578</v>
      </c>
      <c r="AH26" s="2">
        <v>750</v>
      </c>
      <c r="AI26" s="2">
        <f t="shared" si="9"/>
        <v>1023.15</v>
      </c>
      <c r="AJ26" s="6">
        <f t="shared" si="26"/>
        <v>0.47584150984572426</v>
      </c>
      <c r="AK26" s="6">
        <f t="shared" si="27"/>
        <v>2.3792075492286213</v>
      </c>
      <c r="AL26" s="6">
        <f t="shared" si="28"/>
        <v>4.7584150984572426</v>
      </c>
      <c r="AM26" s="6">
        <f t="shared" si="29"/>
        <v>7.1376226476858644</v>
      </c>
      <c r="AN26" s="6">
        <f t="shared" si="30"/>
        <v>9.5168301969144853</v>
      </c>
      <c r="AP26" s="2">
        <v>750</v>
      </c>
      <c r="AQ26" s="2">
        <f t="shared" si="10"/>
        <v>1023.15</v>
      </c>
      <c r="AR26" s="6">
        <f t="shared" si="31"/>
        <v>0.24036261708162787</v>
      </c>
      <c r="AS26" s="6">
        <f t="shared" si="32"/>
        <v>1.2018130854081395</v>
      </c>
      <c r="AT26" s="6">
        <f t="shared" si="33"/>
        <v>2.4036261708162789</v>
      </c>
      <c r="AU26" s="6">
        <f t="shared" si="34"/>
        <v>3.6054392562244182</v>
      </c>
      <c r="AV26" s="6">
        <f t="shared" si="35"/>
        <v>4.8072523416325579</v>
      </c>
    </row>
    <row r="27" spans="2:48" x14ac:dyDescent="0.35">
      <c r="B27" s="2">
        <v>800</v>
      </c>
      <c r="C27" s="2">
        <f t="shared" si="0"/>
        <v>1073.1500000000001</v>
      </c>
      <c r="D27" s="6">
        <f t="shared" si="1"/>
        <v>4.546024295818378E-2</v>
      </c>
      <c r="E27" s="6">
        <f t="shared" si="2"/>
        <v>0.22730121479091889</v>
      </c>
      <c r="F27" s="6">
        <f t="shared" si="3"/>
        <v>0.45460242958183777</v>
      </c>
      <c r="G27" s="6">
        <f t="shared" si="4"/>
        <v>0.68190364437275663</v>
      </c>
      <c r="H27" s="6">
        <f t="shared" si="5"/>
        <v>0.90920485916367555</v>
      </c>
      <c r="I27" s="2"/>
      <c r="J27" s="2">
        <v>800</v>
      </c>
      <c r="K27" s="2">
        <f t="shared" si="6"/>
        <v>1073.1500000000001</v>
      </c>
      <c r="L27" s="6">
        <f t="shared" si="11"/>
        <v>0.31813084836063016</v>
      </c>
      <c r="M27" s="6">
        <f t="shared" si="12"/>
        <v>1.5906542418031506</v>
      </c>
      <c r="N27" s="6">
        <f t="shared" si="13"/>
        <v>3.1813084836063013</v>
      </c>
      <c r="O27" s="6">
        <f t="shared" si="14"/>
        <v>4.7719627254094519</v>
      </c>
      <c r="P27" s="6">
        <f t="shared" si="15"/>
        <v>6.3626169672126025</v>
      </c>
      <c r="R27" s="2">
        <v>800</v>
      </c>
      <c r="S27" s="2">
        <f t="shared" si="7"/>
        <v>1073.1500000000001</v>
      </c>
      <c r="T27" s="6">
        <f t="shared" si="16"/>
        <v>1.491000574064439</v>
      </c>
      <c r="U27" s="6">
        <f t="shared" si="17"/>
        <v>7.4550028703221942</v>
      </c>
      <c r="V27" s="6">
        <f t="shared" si="18"/>
        <v>14.910005740644388</v>
      </c>
      <c r="W27" s="6">
        <f t="shared" si="19"/>
        <v>22.365008610966584</v>
      </c>
      <c r="X27" s="6">
        <f t="shared" si="20"/>
        <v>29.820011481288777</v>
      </c>
      <c r="Z27" s="2">
        <v>800</v>
      </c>
      <c r="AA27" s="2">
        <f t="shared" si="8"/>
        <v>1073.1500000000001</v>
      </c>
      <c r="AB27" s="6">
        <f t="shared" si="21"/>
        <v>0.95167833122553114</v>
      </c>
      <c r="AC27" s="6">
        <f t="shared" si="22"/>
        <v>4.7583916561276558</v>
      </c>
      <c r="AD27" s="6">
        <f t="shared" si="23"/>
        <v>9.5167833122553116</v>
      </c>
      <c r="AE27" s="6">
        <f t="shared" si="24"/>
        <v>14.275174968382967</v>
      </c>
      <c r="AF27" s="6">
        <f t="shared" si="25"/>
        <v>19.033566624510623</v>
      </c>
      <c r="AH27" s="2">
        <v>800</v>
      </c>
      <c r="AI27" s="2">
        <f t="shared" si="9"/>
        <v>1073.1500000000001</v>
      </c>
      <c r="AJ27" s="6">
        <f t="shared" si="26"/>
        <v>0.45367119302860992</v>
      </c>
      <c r="AK27" s="6">
        <f t="shared" si="27"/>
        <v>2.2683559651430496</v>
      </c>
      <c r="AL27" s="6">
        <f t="shared" si="28"/>
        <v>4.5367119302860992</v>
      </c>
      <c r="AM27" s="6">
        <f t="shared" si="29"/>
        <v>6.8050678954291497</v>
      </c>
      <c r="AN27" s="6">
        <f t="shared" si="30"/>
        <v>9.0734238605721984</v>
      </c>
      <c r="AP27" s="2">
        <v>800</v>
      </c>
      <c r="AQ27" s="2">
        <f t="shared" si="10"/>
        <v>1073.1500000000001</v>
      </c>
      <c r="AR27" s="6">
        <f t="shared" si="31"/>
        <v>0.2291636878973746</v>
      </c>
      <c r="AS27" s="6">
        <f t="shared" si="32"/>
        <v>1.1458184394868729</v>
      </c>
      <c r="AT27" s="6">
        <f t="shared" si="33"/>
        <v>2.2916368789737458</v>
      </c>
      <c r="AU27" s="6">
        <f t="shared" si="34"/>
        <v>3.4374553184606191</v>
      </c>
      <c r="AV27" s="6">
        <f t="shared" si="35"/>
        <v>4.5832737579474916</v>
      </c>
    </row>
    <row r="28" spans="2:48" x14ac:dyDescent="0.35">
      <c r="B28" s="2">
        <v>850</v>
      </c>
      <c r="C28" s="2">
        <f t="shared" si="0"/>
        <v>1123.1500000000001</v>
      </c>
      <c r="D28" s="6">
        <f t="shared" si="1"/>
        <v>4.3436459716489267E-2</v>
      </c>
      <c r="E28" s="6">
        <f t="shared" si="2"/>
        <v>0.21718229858244634</v>
      </c>
      <c r="F28" s="6">
        <f t="shared" si="3"/>
        <v>0.43436459716489267</v>
      </c>
      <c r="G28" s="6">
        <f t="shared" si="4"/>
        <v>0.65154689574733893</v>
      </c>
      <c r="H28" s="6">
        <f t="shared" si="5"/>
        <v>0.86872919432978535</v>
      </c>
      <c r="I28" s="2"/>
      <c r="J28" s="2">
        <v>850</v>
      </c>
      <c r="K28" s="2">
        <f t="shared" si="6"/>
        <v>1123.1500000000001</v>
      </c>
      <c r="L28" s="6">
        <f t="shared" si="11"/>
        <v>0.30396841020185211</v>
      </c>
      <c r="M28" s="6">
        <f t="shared" si="12"/>
        <v>1.5198420510092605</v>
      </c>
      <c r="N28" s="6">
        <f t="shared" si="13"/>
        <v>3.039684102018521</v>
      </c>
      <c r="O28" s="6">
        <f t="shared" si="14"/>
        <v>4.5595261530277815</v>
      </c>
      <c r="P28" s="6">
        <f t="shared" si="15"/>
        <v>6.079368204037042</v>
      </c>
      <c r="R28" s="2">
        <v>850</v>
      </c>
      <c r="S28" s="2">
        <f t="shared" si="7"/>
        <v>1123.1500000000001</v>
      </c>
      <c r="T28" s="6">
        <f t="shared" si="16"/>
        <v>1.4246247304965967</v>
      </c>
      <c r="U28" s="6">
        <f t="shared" si="17"/>
        <v>7.1231236524829828</v>
      </c>
      <c r="V28" s="6">
        <f t="shared" si="18"/>
        <v>14.246247304965966</v>
      </c>
      <c r="W28" s="6">
        <f t="shared" si="19"/>
        <v>21.369370957448947</v>
      </c>
      <c r="X28" s="6">
        <f t="shared" si="20"/>
        <v>28.492494609931931</v>
      </c>
      <c r="Z28" s="2">
        <v>850</v>
      </c>
      <c r="AA28" s="2">
        <f t="shared" si="8"/>
        <v>1123.1500000000001</v>
      </c>
      <c r="AB28" s="6">
        <f t="shared" si="21"/>
        <v>0.90931184717506897</v>
      </c>
      <c r="AC28" s="6">
        <f t="shared" si="22"/>
        <v>4.5465592358753453</v>
      </c>
      <c r="AD28" s="6">
        <f t="shared" si="23"/>
        <v>9.0931184717506905</v>
      </c>
      <c r="AE28" s="6">
        <f t="shared" si="24"/>
        <v>13.639677707626033</v>
      </c>
      <c r="AF28" s="6">
        <f t="shared" si="25"/>
        <v>18.186236943501381</v>
      </c>
      <c r="AH28" s="2">
        <v>850</v>
      </c>
      <c r="AI28" s="2">
        <f t="shared" si="9"/>
        <v>1123.1500000000001</v>
      </c>
      <c r="AJ28" s="6">
        <f t="shared" si="26"/>
        <v>0.43347481707577146</v>
      </c>
      <c r="AK28" s="6">
        <f t="shared" si="27"/>
        <v>2.1673740853788575</v>
      </c>
      <c r="AL28" s="6">
        <f t="shared" si="28"/>
        <v>4.3347481707577149</v>
      </c>
      <c r="AM28" s="6">
        <f t="shared" si="29"/>
        <v>6.5021222561365724</v>
      </c>
      <c r="AN28" s="6">
        <f t="shared" si="30"/>
        <v>8.6694963415154298</v>
      </c>
      <c r="AP28" s="2">
        <v>850</v>
      </c>
      <c r="AQ28" s="2">
        <f t="shared" si="10"/>
        <v>1123.1500000000001</v>
      </c>
      <c r="AR28" s="6">
        <f t="shared" si="31"/>
        <v>0.21896185876068872</v>
      </c>
      <c r="AS28" s="6">
        <f t="shared" si="32"/>
        <v>1.0948092938034435</v>
      </c>
      <c r="AT28" s="6">
        <f t="shared" si="33"/>
        <v>2.189618587606887</v>
      </c>
      <c r="AU28" s="6">
        <f t="shared" si="34"/>
        <v>3.2844278814103309</v>
      </c>
      <c r="AV28" s="6">
        <f t="shared" si="35"/>
        <v>4.379237175213774</v>
      </c>
    </row>
    <row r="29" spans="2:48" x14ac:dyDescent="0.35">
      <c r="B29" s="2">
        <v>900</v>
      </c>
      <c r="C29" s="2">
        <f t="shared" si="0"/>
        <v>1173.1500000000001</v>
      </c>
      <c r="D29" s="6">
        <f t="shared" si="1"/>
        <v>4.1585184955525656E-2</v>
      </c>
      <c r="E29" s="6">
        <f t="shared" si="2"/>
        <v>0.20792592477762828</v>
      </c>
      <c r="F29" s="6">
        <f t="shared" si="3"/>
        <v>0.41585184955525656</v>
      </c>
      <c r="G29" s="6">
        <f t="shared" si="4"/>
        <v>0.62377777433288484</v>
      </c>
      <c r="H29" s="6">
        <f t="shared" si="5"/>
        <v>0.83170369911051312</v>
      </c>
      <c r="I29" s="2"/>
      <c r="J29" s="2">
        <v>900</v>
      </c>
      <c r="K29" s="2">
        <f t="shared" si="6"/>
        <v>1173.1500000000001</v>
      </c>
      <c r="L29" s="6">
        <f t="shared" si="11"/>
        <v>0.29101318664979775</v>
      </c>
      <c r="M29" s="6">
        <f t="shared" si="12"/>
        <v>1.4550659332489888</v>
      </c>
      <c r="N29" s="6">
        <f t="shared" si="13"/>
        <v>2.9101318664979776</v>
      </c>
      <c r="O29" s="6">
        <f t="shared" si="14"/>
        <v>4.3651977997469658</v>
      </c>
      <c r="P29" s="6">
        <f t="shared" si="15"/>
        <v>5.8202637329959552</v>
      </c>
      <c r="R29" s="2">
        <v>900</v>
      </c>
      <c r="S29" s="2">
        <f t="shared" si="7"/>
        <v>1173.1500000000001</v>
      </c>
      <c r="T29" s="6">
        <f t="shared" si="16"/>
        <v>1.3639068031004158</v>
      </c>
      <c r="U29" s="6">
        <f t="shared" si="17"/>
        <v>6.8195340155020787</v>
      </c>
      <c r="V29" s="6">
        <f t="shared" si="18"/>
        <v>13.639068031004157</v>
      </c>
      <c r="W29" s="6">
        <f t="shared" si="19"/>
        <v>20.458602046506236</v>
      </c>
      <c r="X29" s="6">
        <f t="shared" si="20"/>
        <v>27.278136062008315</v>
      </c>
      <c r="Z29" s="2">
        <v>900</v>
      </c>
      <c r="AA29" s="2">
        <f t="shared" si="8"/>
        <v>1173.1500000000001</v>
      </c>
      <c r="AB29" s="6">
        <f t="shared" si="21"/>
        <v>0.87055670728779677</v>
      </c>
      <c r="AC29" s="6">
        <f t="shared" si="22"/>
        <v>4.3527835364389844</v>
      </c>
      <c r="AD29" s="6">
        <f t="shared" si="23"/>
        <v>8.7055670728779688</v>
      </c>
      <c r="AE29" s="6">
        <f t="shared" si="24"/>
        <v>13.058350609316951</v>
      </c>
      <c r="AF29" s="6">
        <f t="shared" si="25"/>
        <v>17.411134145755938</v>
      </c>
      <c r="AH29" s="2">
        <v>900</v>
      </c>
      <c r="AI29" s="2">
        <f t="shared" si="9"/>
        <v>1173.1500000000001</v>
      </c>
      <c r="AJ29" s="6">
        <f t="shared" si="26"/>
        <v>0.41499999215671718</v>
      </c>
      <c r="AK29" s="6">
        <f t="shared" si="27"/>
        <v>2.0749999607835861</v>
      </c>
      <c r="AL29" s="6">
        <f t="shared" si="28"/>
        <v>4.1499999215671721</v>
      </c>
      <c r="AM29" s="6">
        <f t="shared" si="29"/>
        <v>6.2249998823507582</v>
      </c>
      <c r="AN29" s="6">
        <f t="shared" si="30"/>
        <v>8.2999998431343442</v>
      </c>
      <c r="AP29" s="2">
        <v>900</v>
      </c>
      <c r="AQ29" s="2">
        <f t="shared" si="10"/>
        <v>1173.1500000000001</v>
      </c>
      <c r="AR29" s="6">
        <f t="shared" si="31"/>
        <v>0.20962963957470704</v>
      </c>
      <c r="AS29" s="6">
        <f t="shared" si="32"/>
        <v>1.0481481978735352</v>
      </c>
      <c r="AT29" s="6">
        <f t="shared" si="33"/>
        <v>2.0962963957470704</v>
      </c>
      <c r="AU29" s="6">
        <f t="shared" si="34"/>
        <v>3.1444445936206056</v>
      </c>
      <c r="AV29" s="6">
        <f t="shared" si="35"/>
        <v>4.1925927914941408</v>
      </c>
    </row>
    <row r="30" spans="2:48" x14ac:dyDescent="0.35">
      <c r="B30" s="2">
        <v>950</v>
      </c>
      <c r="C30" s="2">
        <f t="shared" si="0"/>
        <v>1223.1500000000001</v>
      </c>
      <c r="D30" s="6">
        <f t="shared" si="1"/>
        <v>3.9885263238830002E-2</v>
      </c>
      <c r="E30" s="6">
        <f t="shared" si="2"/>
        <v>0.19942631619415002</v>
      </c>
      <c r="F30" s="6">
        <f t="shared" si="3"/>
        <v>0.39885263238830004</v>
      </c>
      <c r="G30" s="6">
        <f t="shared" si="4"/>
        <v>0.59827894858245001</v>
      </c>
      <c r="H30" s="6">
        <f t="shared" si="5"/>
        <v>0.79770526477660009</v>
      </c>
      <c r="I30" s="2"/>
      <c r="J30" s="2">
        <v>950</v>
      </c>
      <c r="K30" s="2">
        <f t="shared" si="6"/>
        <v>1223.1500000000001</v>
      </c>
      <c r="L30" s="6">
        <f t="shared" si="11"/>
        <v>0.27911713192838999</v>
      </c>
      <c r="M30" s="6">
        <f t="shared" si="12"/>
        <v>1.3955856596419498</v>
      </c>
      <c r="N30" s="6">
        <f t="shared" si="13"/>
        <v>2.7911713192838996</v>
      </c>
      <c r="O30" s="6">
        <f t="shared" si="14"/>
        <v>4.1867569789258496</v>
      </c>
      <c r="P30" s="6">
        <f t="shared" si="15"/>
        <v>5.5823426385677992</v>
      </c>
      <c r="R30" s="2">
        <v>950</v>
      </c>
      <c r="S30" s="2">
        <f t="shared" si="7"/>
        <v>1223.1500000000001</v>
      </c>
      <c r="T30" s="6">
        <f t="shared" si="16"/>
        <v>1.3081529379530332</v>
      </c>
      <c r="U30" s="6">
        <f t="shared" si="17"/>
        <v>6.5407646897651661</v>
      </c>
      <c r="V30" s="6">
        <f t="shared" si="18"/>
        <v>13.081529379530332</v>
      </c>
      <c r="W30" s="6">
        <f t="shared" si="19"/>
        <v>19.622294069295496</v>
      </c>
      <c r="X30" s="6">
        <f t="shared" si="20"/>
        <v>26.163058759060664</v>
      </c>
      <c r="Z30" s="2">
        <v>950</v>
      </c>
      <c r="AA30" s="2">
        <f t="shared" si="8"/>
        <v>1223.1500000000001</v>
      </c>
      <c r="AB30" s="6">
        <f t="shared" si="21"/>
        <v>0.83497003732549457</v>
      </c>
      <c r="AC30" s="6">
        <f t="shared" si="22"/>
        <v>4.1748501866274736</v>
      </c>
      <c r="AD30" s="6">
        <f t="shared" si="23"/>
        <v>8.3497003732549473</v>
      </c>
      <c r="AE30" s="6">
        <f t="shared" si="24"/>
        <v>12.524550559882419</v>
      </c>
      <c r="AF30" s="6">
        <f t="shared" si="25"/>
        <v>16.699400746509895</v>
      </c>
      <c r="AH30" s="2">
        <v>950</v>
      </c>
      <c r="AI30" s="2">
        <f t="shared" si="9"/>
        <v>1223.1500000000001</v>
      </c>
      <c r="AJ30" s="6">
        <f t="shared" si="26"/>
        <v>0.39803559726824406</v>
      </c>
      <c r="AK30" s="6">
        <f t="shared" si="27"/>
        <v>1.9901779863412203</v>
      </c>
      <c r="AL30" s="6">
        <f t="shared" si="28"/>
        <v>3.9803559726824407</v>
      </c>
      <c r="AM30" s="6">
        <f t="shared" si="29"/>
        <v>5.9705339590236619</v>
      </c>
      <c r="AN30" s="6">
        <f t="shared" si="30"/>
        <v>7.9607119453648814</v>
      </c>
      <c r="AP30" s="2">
        <v>950</v>
      </c>
      <c r="AQ30" s="2">
        <f t="shared" si="10"/>
        <v>1223.1500000000001</v>
      </c>
      <c r="AR30" s="6">
        <f t="shared" si="31"/>
        <v>0.201060386434262</v>
      </c>
      <c r="AS30" s="6">
        <f t="shared" si="32"/>
        <v>1.0053019321713099</v>
      </c>
      <c r="AT30" s="6">
        <f t="shared" si="33"/>
        <v>2.0106038643426198</v>
      </c>
      <c r="AU30" s="6">
        <f t="shared" si="34"/>
        <v>3.0159057965139295</v>
      </c>
      <c r="AV30" s="6">
        <f t="shared" si="35"/>
        <v>4.0212077286852397</v>
      </c>
    </row>
    <row r="31" spans="2:48" x14ac:dyDescent="0.35">
      <c r="B31" s="2">
        <v>1000</v>
      </c>
      <c r="C31" s="2">
        <f t="shared" si="0"/>
        <v>1273.1500000000001</v>
      </c>
      <c r="D31" s="6">
        <f t="shared" si="1"/>
        <v>3.8318862451851649E-2</v>
      </c>
      <c r="E31" s="6">
        <f t="shared" si="2"/>
        <v>0.19159431225925824</v>
      </c>
      <c r="F31" s="6">
        <f t="shared" si="3"/>
        <v>0.38318862451851649</v>
      </c>
      <c r="G31" s="6">
        <f t="shared" si="4"/>
        <v>0.5747829367777747</v>
      </c>
      <c r="H31" s="6">
        <f t="shared" si="5"/>
        <v>0.76637724903703297</v>
      </c>
      <c r="I31" s="2"/>
      <c r="J31" s="2">
        <v>1000</v>
      </c>
      <c r="K31" s="2">
        <f t="shared" si="6"/>
        <v>1273.1500000000001</v>
      </c>
      <c r="L31" s="6">
        <f t="shared" si="11"/>
        <v>0.26815545687327513</v>
      </c>
      <c r="M31" s="6">
        <f t="shared" si="12"/>
        <v>1.3407772843663757</v>
      </c>
      <c r="N31" s="6">
        <f t="shared" si="13"/>
        <v>2.6815545687327513</v>
      </c>
      <c r="O31" s="6">
        <f t="shared" si="14"/>
        <v>4.0223318530991268</v>
      </c>
      <c r="P31" s="6">
        <f t="shared" si="15"/>
        <v>5.3631091374655027</v>
      </c>
      <c r="R31" s="2">
        <v>1000</v>
      </c>
      <c r="S31" s="2">
        <f t="shared" si="7"/>
        <v>1273.1500000000001</v>
      </c>
      <c r="T31" s="6">
        <f t="shared" si="16"/>
        <v>1.2567782791165634</v>
      </c>
      <c r="U31" s="6">
        <f t="shared" si="17"/>
        <v>6.2838913955828177</v>
      </c>
      <c r="V31" s="6">
        <f t="shared" si="18"/>
        <v>12.567782791165635</v>
      </c>
      <c r="W31" s="6">
        <f t="shared" si="19"/>
        <v>18.851674186748451</v>
      </c>
      <c r="X31" s="6">
        <f t="shared" si="20"/>
        <v>25.135565582331271</v>
      </c>
      <c r="Z31" s="2">
        <v>1000</v>
      </c>
      <c r="AA31" s="2">
        <f t="shared" si="8"/>
        <v>1273.1500000000001</v>
      </c>
      <c r="AB31" s="6">
        <f t="shared" si="21"/>
        <v>0.80217853446544307</v>
      </c>
      <c r="AC31" s="6">
        <f t="shared" si="22"/>
        <v>4.0108926723272154</v>
      </c>
      <c r="AD31" s="6">
        <f t="shared" si="23"/>
        <v>8.0217853446544307</v>
      </c>
      <c r="AE31" s="6">
        <f t="shared" si="24"/>
        <v>12.032678016981645</v>
      </c>
      <c r="AF31" s="6">
        <f t="shared" si="25"/>
        <v>16.043570689308861</v>
      </c>
      <c r="AH31" s="2">
        <v>1000</v>
      </c>
      <c r="AI31" s="2">
        <f t="shared" si="9"/>
        <v>1273.1500000000001</v>
      </c>
      <c r="AJ31" s="6">
        <f t="shared" si="26"/>
        <v>0.38240367654923052</v>
      </c>
      <c r="AK31" s="6">
        <f t="shared" si="27"/>
        <v>1.9120183827461523</v>
      </c>
      <c r="AL31" s="6">
        <f t="shared" si="28"/>
        <v>3.8240367654923046</v>
      </c>
      <c r="AM31" s="6">
        <f t="shared" si="29"/>
        <v>5.7360551482384574</v>
      </c>
      <c r="AN31" s="6">
        <f t="shared" si="30"/>
        <v>7.6480735309846093</v>
      </c>
      <c r="AP31" s="2">
        <v>1000</v>
      </c>
      <c r="AQ31" s="2">
        <f t="shared" si="10"/>
        <v>1273.1500000000001</v>
      </c>
      <c r="AR31" s="6">
        <f t="shared" si="31"/>
        <v>0.19316420819783023</v>
      </c>
      <c r="AS31" s="6">
        <f t="shared" si="32"/>
        <v>0.96582104098915122</v>
      </c>
      <c r="AT31" s="6">
        <f t="shared" si="33"/>
        <v>1.9316420819783024</v>
      </c>
      <c r="AU31" s="6">
        <f t="shared" si="34"/>
        <v>2.8974631229674537</v>
      </c>
      <c r="AV31" s="6">
        <f t="shared" si="35"/>
        <v>3.8632841639566049</v>
      </c>
    </row>
    <row r="32" spans="2:48" x14ac:dyDescent="0.35">
      <c r="B32" s="2">
        <v>1050</v>
      </c>
      <c r="C32" s="2">
        <f t="shared" si="0"/>
        <v>1323.15</v>
      </c>
      <c r="D32" s="6">
        <f t="shared" si="1"/>
        <v>3.6870845883365394E-2</v>
      </c>
      <c r="E32" s="6">
        <f t="shared" si="2"/>
        <v>0.18435422941682697</v>
      </c>
      <c r="F32" s="6">
        <f t="shared" si="3"/>
        <v>0.36870845883365394</v>
      </c>
      <c r="G32" s="6">
        <f t="shared" si="4"/>
        <v>0.55306268825048088</v>
      </c>
      <c r="H32" s="6">
        <f t="shared" si="5"/>
        <v>0.73741691766730788</v>
      </c>
      <c r="I32" s="2"/>
      <c r="J32" s="2">
        <v>1050</v>
      </c>
      <c r="K32" s="2">
        <f t="shared" si="6"/>
        <v>1323.15</v>
      </c>
      <c r="L32" s="6">
        <f t="shared" si="11"/>
        <v>0.25802223475661129</v>
      </c>
      <c r="M32" s="6">
        <f t="shared" si="12"/>
        <v>1.2901111737830564</v>
      </c>
      <c r="N32" s="6">
        <f t="shared" si="13"/>
        <v>2.5802223475661128</v>
      </c>
      <c r="O32" s="6">
        <f t="shared" si="14"/>
        <v>3.8703335213491692</v>
      </c>
      <c r="P32" s="6">
        <f t="shared" si="15"/>
        <v>5.1604446951322256</v>
      </c>
      <c r="R32" s="2">
        <v>1050</v>
      </c>
      <c r="S32" s="2">
        <f t="shared" si="7"/>
        <v>1323.15</v>
      </c>
      <c r="T32" s="6">
        <f t="shared" si="16"/>
        <v>1.2092863742260913</v>
      </c>
      <c r="U32" s="6">
        <f t="shared" si="17"/>
        <v>6.0464318711304568</v>
      </c>
      <c r="V32" s="6">
        <f t="shared" si="18"/>
        <v>12.092863742260914</v>
      </c>
      <c r="W32" s="6">
        <f t="shared" si="19"/>
        <v>18.139295613391369</v>
      </c>
      <c r="X32" s="6">
        <f t="shared" si="20"/>
        <v>24.185727484521827</v>
      </c>
      <c r="Z32" s="2">
        <v>1050</v>
      </c>
      <c r="AA32" s="2">
        <f t="shared" si="8"/>
        <v>1323.15</v>
      </c>
      <c r="AB32" s="6">
        <f t="shared" si="21"/>
        <v>0.77186532226480653</v>
      </c>
      <c r="AC32" s="6">
        <f t="shared" si="22"/>
        <v>3.859326611324033</v>
      </c>
      <c r="AD32" s="6">
        <f t="shared" si="23"/>
        <v>7.718653222648066</v>
      </c>
      <c r="AE32" s="6">
        <f t="shared" si="24"/>
        <v>11.577979833972098</v>
      </c>
      <c r="AF32" s="6">
        <f t="shared" si="25"/>
        <v>15.437306445296132</v>
      </c>
      <c r="AH32" s="2">
        <v>1050</v>
      </c>
      <c r="AI32" s="2">
        <f t="shared" si="9"/>
        <v>1323.15</v>
      </c>
      <c r="AJ32" s="6">
        <f t="shared" si="26"/>
        <v>0.36795317295745211</v>
      </c>
      <c r="AK32" s="6">
        <f t="shared" si="27"/>
        <v>1.8397658647872606</v>
      </c>
      <c r="AL32" s="6">
        <f t="shared" si="28"/>
        <v>3.6795317295745211</v>
      </c>
      <c r="AM32" s="6">
        <f t="shared" si="29"/>
        <v>5.5192975943617819</v>
      </c>
      <c r="AN32" s="6">
        <f t="shared" si="30"/>
        <v>7.3590634591490423</v>
      </c>
      <c r="AP32" s="2">
        <v>1050</v>
      </c>
      <c r="AQ32" s="2">
        <f t="shared" si="10"/>
        <v>1323.15</v>
      </c>
      <c r="AR32" s="6">
        <f t="shared" si="31"/>
        <v>0.18586480116923065</v>
      </c>
      <c r="AS32" s="6">
        <f t="shared" si="32"/>
        <v>0.92932400584615338</v>
      </c>
      <c r="AT32" s="6">
        <f t="shared" si="33"/>
        <v>1.8586480116923068</v>
      </c>
      <c r="AU32" s="6">
        <f t="shared" si="34"/>
        <v>2.7879720175384599</v>
      </c>
      <c r="AV32" s="6">
        <f t="shared" si="35"/>
        <v>3.7172960233846135</v>
      </c>
    </row>
    <row r="33" spans="2:48" x14ac:dyDescent="0.35">
      <c r="B33" s="2">
        <v>1100</v>
      </c>
      <c r="C33" s="2">
        <f t="shared" si="0"/>
        <v>1373.15</v>
      </c>
      <c r="D33" s="6">
        <f t="shared" si="1"/>
        <v>3.5528281491879928E-2</v>
      </c>
      <c r="E33" s="6">
        <f t="shared" si="2"/>
        <v>0.17764140745939963</v>
      </c>
      <c r="F33" s="6">
        <f t="shared" si="3"/>
        <v>0.35528281491879926</v>
      </c>
      <c r="G33" s="6">
        <f t="shared" si="4"/>
        <v>0.53292422237819892</v>
      </c>
      <c r="H33" s="6">
        <f t="shared" si="5"/>
        <v>0.71056562983759852</v>
      </c>
      <c r="I33" s="2"/>
      <c r="J33" s="2">
        <v>1100</v>
      </c>
      <c r="K33" s="2">
        <f t="shared" si="6"/>
        <v>1373.15</v>
      </c>
      <c r="L33" s="6">
        <f t="shared" si="11"/>
        <v>0.24862696713265864</v>
      </c>
      <c r="M33" s="6">
        <f t="shared" si="12"/>
        <v>1.2431348356632932</v>
      </c>
      <c r="N33" s="6">
        <f t="shared" si="13"/>
        <v>2.4862696713265864</v>
      </c>
      <c r="O33" s="6">
        <f t="shared" si="14"/>
        <v>3.7294045069898791</v>
      </c>
      <c r="P33" s="6">
        <f t="shared" si="15"/>
        <v>4.9725393426531728</v>
      </c>
      <c r="R33" s="2">
        <v>1100</v>
      </c>
      <c r="S33" s="2">
        <f t="shared" si="7"/>
        <v>1373.15</v>
      </c>
      <c r="T33" s="6">
        <f t="shared" si="16"/>
        <v>1.1652530794576357</v>
      </c>
      <c r="U33" s="6">
        <f t="shared" si="17"/>
        <v>5.8262653972881786</v>
      </c>
      <c r="V33" s="6">
        <f t="shared" si="18"/>
        <v>11.652530794576357</v>
      </c>
      <c r="W33" s="6">
        <f t="shared" si="19"/>
        <v>17.478796191864536</v>
      </c>
      <c r="X33" s="6">
        <f t="shared" si="20"/>
        <v>23.305061589152714</v>
      </c>
      <c r="Z33" s="2">
        <v>1100</v>
      </c>
      <c r="AA33" s="2">
        <f t="shared" si="8"/>
        <v>1373.15</v>
      </c>
      <c r="AB33" s="6">
        <f t="shared" si="21"/>
        <v>0.74375967749676197</v>
      </c>
      <c r="AC33" s="6">
        <f t="shared" si="22"/>
        <v>3.71879838748381</v>
      </c>
      <c r="AD33" s="6">
        <f t="shared" si="23"/>
        <v>7.43759677496762</v>
      </c>
      <c r="AE33" s="6">
        <f t="shared" si="24"/>
        <v>11.15639516245143</v>
      </c>
      <c r="AF33" s="6">
        <f t="shared" si="25"/>
        <v>14.87519354993524</v>
      </c>
      <c r="AH33" s="2">
        <v>1100</v>
      </c>
      <c r="AI33" s="2">
        <f t="shared" si="9"/>
        <v>1373.15</v>
      </c>
      <c r="AJ33" s="6">
        <f t="shared" si="26"/>
        <v>0.3545550309861652</v>
      </c>
      <c r="AK33" s="6">
        <f t="shared" si="27"/>
        <v>1.7727751549308259</v>
      </c>
      <c r="AL33" s="6">
        <f t="shared" si="28"/>
        <v>3.5455503098616519</v>
      </c>
      <c r="AM33" s="6">
        <f t="shared" si="29"/>
        <v>5.318325464792478</v>
      </c>
      <c r="AN33" s="6">
        <f t="shared" si="30"/>
        <v>7.0911006197233037</v>
      </c>
      <c r="AP33" s="2">
        <v>1100</v>
      </c>
      <c r="AQ33" s="2">
        <f t="shared" si="10"/>
        <v>1373.15</v>
      </c>
      <c r="AR33" s="6">
        <f t="shared" si="31"/>
        <v>0.17909697532466776</v>
      </c>
      <c r="AS33" s="6">
        <f t="shared" si="32"/>
        <v>0.89548487662333887</v>
      </c>
      <c r="AT33" s="6">
        <f t="shared" si="33"/>
        <v>1.7909697532466777</v>
      </c>
      <c r="AU33" s="6">
        <f t="shared" si="34"/>
        <v>2.6864546298700165</v>
      </c>
      <c r="AV33" s="6">
        <f t="shared" si="35"/>
        <v>3.5819395064933555</v>
      </c>
    </row>
    <row r="34" spans="2:48" x14ac:dyDescent="0.35">
      <c r="B34" s="2">
        <v>1150</v>
      </c>
      <c r="C34" s="2">
        <f t="shared" si="0"/>
        <v>1423.15</v>
      </c>
      <c r="D34" s="6">
        <f t="shared" si="1"/>
        <v>3.428005461868034E-2</v>
      </c>
      <c r="E34" s="6">
        <f t="shared" si="2"/>
        <v>0.17140027309340169</v>
      </c>
      <c r="F34" s="6">
        <f t="shared" si="3"/>
        <v>0.34280054618680339</v>
      </c>
      <c r="G34" s="6">
        <f t="shared" si="4"/>
        <v>0.51420081928020511</v>
      </c>
      <c r="H34" s="6">
        <f t="shared" si="5"/>
        <v>0.68560109237360678</v>
      </c>
      <c r="I34" s="2"/>
      <c r="J34" s="2">
        <v>1150</v>
      </c>
      <c r="K34" s="2">
        <f t="shared" si="6"/>
        <v>1423.15</v>
      </c>
      <c r="L34" s="6">
        <f t="shared" si="11"/>
        <v>0.23989187360307082</v>
      </c>
      <c r="M34" s="6">
        <f t="shared" si="12"/>
        <v>1.199459368015354</v>
      </c>
      <c r="N34" s="6">
        <f t="shared" si="13"/>
        <v>2.398918736030708</v>
      </c>
      <c r="O34" s="6">
        <f t="shared" si="14"/>
        <v>3.5983781040460618</v>
      </c>
      <c r="P34" s="6">
        <f t="shared" si="15"/>
        <v>4.7978374720614161</v>
      </c>
      <c r="R34" s="2">
        <v>1150</v>
      </c>
      <c r="S34" s="2">
        <f t="shared" si="7"/>
        <v>1423.15</v>
      </c>
      <c r="T34" s="6">
        <f t="shared" si="16"/>
        <v>1.1243138573286391</v>
      </c>
      <c r="U34" s="6">
        <f t="shared" si="17"/>
        <v>5.6215692866431954</v>
      </c>
      <c r="V34" s="6">
        <f t="shared" si="18"/>
        <v>11.243138573286391</v>
      </c>
      <c r="W34" s="6">
        <f t="shared" si="19"/>
        <v>16.864707859929585</v>
      </c>
      <c r="X34" s="6">
        <f t="shared" si="20"/>
        <v>22.486277146572782</v>
      </c>
      <c r="Z34" s="2">
        <v>1150</v>
      </c>
      <c r="AA34" s="2">
        <f t="shared" si="8"/>
        <v>1423.15</v>
      </c>
      <c r="AB34" s="6">
        <f t="shared" si="21"/>
        <v>0.71762892256942612</v>
      </c>
      <c r="AC34" s="6">
        <f t="shared" si="22"/>
        <v>3.588144612847131</v>
      </c>
      <c r="AD34" s="6">
        <f t="shared" si="23"/>
        <v>7.1762892256942621</v>
      </c>
      <c r="AE34" s="6">
        <f t="shared" si="24"/>
        <v>10.764433838541391</v>
      </c>
      <c r="AF34" s="6">
        <f t="shared" si="25"/>
        <v>14.352578451388524</v>
      </c>
      <c r="AH34" s="2">
        <v>1150</v>
      </c>
      <c r="AI34" s="2">
        <f t="shared" si="9"/>
        <v>1423.15</v>
      </c>
      <c r="AJ34" s="6">
        <f t="shared" si="26"/>
        <v>0.34209833172796456</v>
      </c>
      <c r="AK34" s="6">
        <f t="shared" si="27"/>
        <v>1.7104916586398229</v>
      </c>
      <c r="AL34" s="6">
        <f t="shared" si="28"/>
        <v>3.4209833172796458</v>
      </c>
      <c r="AM34" s="6">
        <f t="shared" si="29"/>
        <v>5.1314749759194687</v>
      </c>
      <c r="AN34" s="6">
        <f t="shared" si="30"/>
        <v>6.8419666345592915</v>
      </c>
      <c r="AP34" s="2">
        <v>1150</v>
      </c>
      <c r="AQ34" s="2">
        <f t="shared" si="10"/>
        <v>1423.15</v>
      </c>
      <c r="AR34" s="6">
        <f t="shared" si="31"/>
        <v>0.17280470201107934</v>
      </c>
      <c r="AS34" s="6">
        <f t="shared" si="32"/>
        <v>0.86402351005539668</v>
      </c>
      <c r="AT34" s="6">
        <f t="shared" si="33"/>
        <v>1.7280470201107934</v>
      </c>
      <c r="AU34" s="6">
        <f t="shared" si="34"/>
        <v>2.5920705301661902</v>
      </c>
      <c r="AV34" s="6">
        <f t="shared" si="35"/>
        <v>3.4560940402215867</v>
      </c>
    </row>
    <row r="35" spans="2:48" x14ac:dyDescent="0.35">
      <c r="B35" s="2">
        <v>1200</v>
      </c>
      <c r="C35" s="2">
        <f t="shared" si="0"/>
        <v>1473.15</v>
      </c>
      <c r="D35" s="6">
        <f t="shared" si="1"/>
        <v>3.3116559570019972E-2</v>
      </c>
      <c r="E35" s="6">
        <f t="shared" si="2"/>
        <v>0.16558279785009986</v>
      </c>
      <c r="F35" s="6">
        <f t="shared" si="3"/>
        <v>0.33116559570019971</v>
      </c>
      <c r="G35" s="6">
        <f t="shared" si="4"/>
        <v>0.49674839355029954</v>
      </c>
      <c r="H35" s="6">
        <f t="shared" si="5"/>
        <v>0.66233119140039942</v>
      </c>
      <c r="I35" s="2"/>
      <c r="J35" s="2">
        <v>1200</v>
      </c>
      <c r="K35" s="2">
        <f t="shared" si="6"/>
        <v>1473.15</v>
      </c>
      <c r="L35" s="6">
        <f t="shared" si="11"/>
        <v>0.23174973350861094</v>
      </c>
      <c r="M35" s="6">
        <f t="shared" si="12"/>
        <v>1.1587486675430547</v>
      </c>
      <c r="N35" s="6">
        <f t="shared" si="13"/>
        <v>2.3174973350861094</v>
      </c>
      <c r="O35" s="6">
        <f t="shared" si="14"/>
        <v>3.4762460026291642</v>
      </c>
      <c r="P35" s="6">
        <f t="shared" si="15"/>
        <v>4.6349946701722189</v>
      </c>
      <c r="R35" s="2">
        <v>1200</v>
      </c>
      <c r="S35" s="2">
        <f t="shared" si="7"/>
        <v>1473.15</v>
      </c>
      <c r="T35" s="6">
        <f t="shared" si="16"/>
        <v>1.0861536612410498</v>
      </c>
      <c r="U35" s="6">
        <f t="shared" si="17"/>
        <v>5.4307683062052492</v>
      </c>
      <c r="V35" s="6">
        <f t="shared" si="18"/>
        <v>10.861536612410498</v>
      </c>
      <c r="W35" s="6">
        <f t="shared" si="19"/>
        <v>16.292304918615748</v>
      </c>
      <c r="X35" s="6">
        <f t="shared" si="20"/>
        <v>21.723073224820997</v>
      </c>
      <c r="Z35" s="2">
        <v>1200</v>
      </c>
      <c r="AA35" s="2">
        <f t="shared" si="8"/>
        <v>1473.15</v>
      </c>
      <c r="AB35" s="6">
        <f t="shared" si="21"/>
        <v>0.69327196901515709</v>
      </c>
      <c r="AC35" s="6">
        <f t="shared" si="22"/>
        <v>3.466359845075786</v>
      </c>
      <c r="AD35" s="6">
        <f t="shared" si="23"/>
        <v>6.932719690151572</v>
      </c>
      <c r="AE35" s="6">
        <f t="shared" si="24"/>
        <v>10.399079535227356</v>
      </c>
      <c r="AF35" s="6">
        <f t="shared" si="25"/>
        <v>13.865439380303144</v>
      </c>
      <c r="AH35" s="2">
        <v>1200</v>
      </c>
      <c r="AI35" s="2">
        <f t="shared" si="9"/>
        <v>1473.15</v>
      </c>
      <c r="AJ35" s="6">
        <f t="shared" si="26"/>
        <v>0.33048721501452855</v>
      </c>
      <c r="AK35" s="6">
        <f t="shared" si="27"/>
        <v>1.6524360750726428</v>
      </c>
      <c r="AL35" s="6">
        <f t="shared" si="28"/>
        <v>3.3048721501452856</v>
      </c>
      <c r="AM35" s="6">
        <f t="shared" si="29"/>
        <v>4.957308225217929</v>
      </c>
      <c r="AN35" s="6">
        <f t="shared" si="30"/>
        <v>6.6097443002905711</v>
      </c>
      <c r="AP35" s="2">
        <v>1200</v>
      </c>
      <c r="AQ35" s="2">
        <f t="shared" si="10"/>
        <v>1473.15</v>
      </c>
      <c r="AR35" s="6">
        <f t="shared" si="31"/>
        <v>0.16693955922144219</v>
      </c>
      <c r="AS35" s="6">
        <f t="shared" si="32"/>
        <v>0.83469779610721095</v>
      </c>
      <c r="AT35" s="6">
        <f t="shared" si="33"/>
        <v>1.6693955922144219</v>
      </c>
      <c r="AU35" s="6">
        <f t="shared" si="34"/>
        <v>2.5040933883216328</v>
      </c>
      <c r="AV35" s="6">
        <f t="shared" si="35"/>
        <v>3.3387911844288438</v>
      </c>
    </row>
    <row r="36" spans="2:48" x14ac:dyDescent="0.35">
      <c r="B36" s="2">
        <v>1250</v>
      </c>
      <c r="C36" s="2">
        <f t="shared" si="0"/>
        <v>1523.15</v>
      </c>
      <c r="D36" s="6">
        <f t="shared" si="1"/>
        <v>3.2029451945359895E-2</v>
      </c>
      <c r="E36" s="6">
        <f t="shared" si="2"/>
        <v>0.1601472597267995</v>
      </c>
      <c r="F36" s="6">
        <f t="shared" si="3"/>
        <v>0.32029451945359899</v>
      </c>
      <c r="G36" s="6">
        <f t="shared" si="4"/>
        <v>0.48044177918039843</v>
      </c>
      <c r="H36" s="6">
        <f t="shared" si="5"/>
        <v>0.64058903890719798</v>
      </c>
      <c r="I36" s="2"/>
      <c r="J36" s="2">
        <v>1250</v>
      </c>
      <c r="K36" s="2">
        <f t="shared" si="6"/>
        <v>1523.15</v>
      </c>
      <c r="L36" s="6">
        <f t="shared" si="11"/>
        <v>0.22414215272180038</v>
      </c>
      <c r="M36" s="6">
        <f t="shared" si="12"/>
        <v>1.1207107636090019</v>
      </c>
      <c r="N36" s="6">
        <f t="shared" si="13"/>
        <v>2.2414215272180038</v>
      </c>
      <c r="O36" s="6">
        <f t="shared" si="14"/>
        <v>3.3621322908270055</v>
      </c>
      <c r="P36" s="6">
        <f t="shared" si="15"/>
        <v>4.4828430544360076</v>
      </c>
      <c r="R36" s="2">
        <v>1250</v>
      </c>
      <c r="S36" s="2">
        <f t="shared" si="7"/>
        <v>1523.15</v>
      </c>
      <c r="T36" s="6">
        <f t="shared" si="16"/>
        <v>1.0504988123672998</v>
      </c>
      <c r="U36" s="6">
        <f t="shared" si="17"/>
        <v>5.252494061836499</v>
      </c>
      <c r="V36" s="6">
        <f t="shared" si="18"/>
        <v>10.504988123672998</v>
      </c>
      <c r="W36" s="6">
        <f t="shared" si="19"/>
        <v>15.757482185509497</v>
      </c>
      <c r="X36" s="6">
        <f t="shared" si="20"/>
        <v>21.009976247345996</v>
      </c>
      <c r="Z36" s="2">
        <v>1250</v>
      </c>
      <c r="AA36" s="2">
        <f t="shared" si="8"/>
        <v>1523.15</v>
      </c>
      <c r="AB36" s="6">
        <f t="shared" si="21"/>
        <v>0.67051413265579807</v>
      </c>
      <c r="AC36" s="6">
        <f t="shared" si="22"/>
        <v>3.3525706632789904</v>
      </c>
      <c r="AD36" s="6">
        <f t="shared" si="23"/>
        <v>6.7051413265579809</v>
      </c>
      <c r="AE36" s="6">
        <f t="shared" si="24"/>
        <v>10.057711989836971</v>
      </c>
      <c r="AF36" s="6">
        <f t="shared" si="25"/>
        <v>13.410282653115962</v>
      </c>
      <c r="AH36" s="2">
        <v>1250</v>
      </c>
      <c r="AI36" s="2">
        <f t="shared" si="9"/>
        <v>1523.15</v>
      </c>
      <c r="AJ36" s="6">
        <f t="shared" si="26"/>
        <v>0.31963840777247993</v>
      </c>
      <c r="AK36" s="6">
        <f t="shared" si="27"/>
        <v>1.5981920388623996</v>
      </c>
      <c r="AL36" s="6">
        <f t="shared" si="28"/>
        <v>3.1963840777247992</v>
      </c>
      <c r="AM36" s="6">
        <f t="shared" si="29"/>
        <v>4.7945761165871987</v>
      </c>
      <c r="AN36" s="6">
        <f t="shared" si="30"/>
        <v>6.3927681554495983</v>
      </c>
      <c r="AP36" s="2">
        <v>1250</v>
      </c>
      <c r="AQ36" s="2">
        <f t="shared" si="10"/>
        <v>1523.15</v>
      </c>
      <c r="AR36" s="6">
        <f t="shared" si="31"/>
        <v>0.16145948308903757</v>
      </c>
      <c r="AS36" s="6">
        <f t="shared" si="32"/>
        <v>0.80729741544518785</v>
      </c>
      <c r="AT36" s="6">
        <f t="shared" si="33"/>
        <v>1.6145948308903757</v>
      </c>
      <c r="AU36" s="6">
        <f t="shared" si="34"/>
        <v>2.4218922463355637</v>
      </c>
      <c r="AV36" s="6">
        <f t="shared" si="35"/>
        <v>3.2291896617807514</v>
      </c>
    </row>
    <row r="37" spans="2:48" x14ac:dyDescent="0.35">
      <c r="B37" s="2">
        <v>1300</v>
      </c>
      <c r="C37" s="2">
        <f t="shared" si="0"/>
        <v>1573.15</v>
      </c>
      <c r="D37" s="6">
        <f t="shared" si="1"/>
        <v>3.1011448196659519E-2</v>
      </c>
      <c r="E37" s="6">
        <f t="shared" si="2"/>
        <v>0.1550572409832976</v>
      </c>
      <c r="F37" s="6">
        <f t="shared" si="3"/>
        <v>0.31011448196659519</v>
      </c>
      <c r="G37" s="6">
        <f t="shared" si="4"/>
        <v>0.46517172294989279</v>
      </c>
      <c r="H37" s="6">
        <f t="shared" si="5"/>
        <v>0.62022896393319038</v>
      </c>
      <c r="I37" s="2"/>
      <c r="J37" s="2">
        <v>1300</v>
      </c>
      <c r="K37" s="2">
        <f t="shared" si="6"/>
        <v>1573.15</v>
      </c>
      <c r="L37" s="6">
        <f t="shared" si="11"/>
        <v>0.21701816096253393</v>
      </c>
      <c r="M37" s="6">
        <f t="shared" si="12"/>
        <v>1.0850908048126695</v>
      </c>
      <c r="N37" s="6">
        <f t="shared" si="13"/>
        <v>2.170181609625339</v>
      </c>
      <c r="O37" s="6">
        <f t="shared" si="14"/>
        <v>3.2552724144380085</v>
      </c>
      <c r="P37" s="6">
        <f t="shared" si="15"/>
        <v>4.340363219250678</v>
      </c>
      <c r="R37" s="2">
        <v>1300</v>
      </c>
      <c r="S37" s="2">
        <f t="shared" si="7"/>
        <v>1573.15</v>
      </c>
      <c r="T37" s="6">
        <f t="shared" si="16"/>
        <v>1.0171104256156456</v>
      </c>
      <c r="U37" s="6">
        <f t="shared" si="17"/>
        <v>5.085552128078227</v>
      </c>
      <c r="V37" s="6">
        <f t="shared" si="18"/>
        <v>10.171104256156454</v>
      </c>
      <c r="W37" s="6">
        <f t="shared" si="19"/>
        <v>15.256656384234681</v>
      </c>
      <c r="X37" s="6">
        <f t="shared" si="20"/>
        <v>20.342208512312908</v>
      </c>
      <c r="Z37" s="2">
        <v>1300</v>
      </c>
      <c r="AA37" s="2">
        <f t="shared" si="8"/>
        <v>1573.15</v>
      </c>
      <c r="AB37" s="6">
        <f t="shared" si="21"/>
        <v>0.64920293751687941</v>
      </c>
      <c r="AC37" s="6">
        <f t="shared" si="22"/>
        <v>3.2460146875843972</v>
      </c>
      <c r="AD37" s="6">
        <f t="shared" si="23"/>
        <v>6.4920293751687943</v>
      </c>
      <c r="AE37" s="6">
        <f t="shared" si="24"/>
        <v>9.7380440627531897</v>
      </c>
      <c r="AF37" s="6">
        <f t="shared" si="25"/>
        <v>12.984058750337589</v>
      </c>
      <c r="AH37" s="2">
        <v>1300</v>
      </c>
      <c r="AI37" s="2">
        <f t="shared" si="9"/>
        <v>1573.15</v>
      </c>
      <c r="AJ37" s="6">
        <f t="shared" si="26"/>
        <v>0.30947922372224695</v>
      </c>
      <c r="AK37" s="6">
        <f t="shared" si="27"/>
        <v>1.5473961186112346</v>
      </c>
      <c r="AL37" s="6">
        <f t="shared" si="28"/>
        <v>3.0947922372224692</v>
      </c>
      <c r="AM37" s="6">
        <f t="shared" si="29"/>
        <v>4.6421883558337047</v>
      </c>
      <c r="AN37" s="6">
        <f t="shared" si="30"/>
        <v>6.1895844744449384</v>
      </c>
      <c r="AP37" s="2">
        <v>1300</v>
      </c>
      <c r="AQ37" s="2">
        <f t="shared" si="10"/>
        <v>1573.15</v>
      </c>
      <c r="AR37" s="6">
        <f t="shared" si="31"/>
        <v>0.15632775747199412</v>
      </c>
      <c r="AS37" s="6">
        <f t="shared" si="32"/>
        <v>0.78163878735997061</v>
      </c>
      <c r="AT37" s="6">
        <f t="shared" si="33"/>
        <v>1.5632775747199412</v>
      </c>
      <c r="AU37" s="6">
        <f t="shared" si="34"/>
        <v>2.3449163620799118</v>
      </c>
      <c r="AV37" s="6">
        <f t="shared" si="35"/>
        <v>3.1265551494398824</v>
      </c>
    </row>
    <row r="38" spans="2:48" x14ac:dyDescent="0.35">
      <c r="B38" s="2">
        <v>1350</v>
      </c>
      <c r="C38" s="2">
        <f t="shared" si="0"/>
        <v>1623.15</v>
      </c>
      <c r="D38" s="6">
        <f t="shared" si="1"/>
        <v>3.0056162234282056E-2</v>
      </c>
      <c r="E38" s="6">
        <f t="shared" si="2"/>
        <v>0.15028081117141029</v>
      </c>
      <c r="F38" s="6">
        <f t="shared" si="3"/>
        <v>0.30056162234282058</v>
      </c>
      <c r="G38" s="6">
        <f t="shared" si="4"/>
        <v>0.45084243351423087</v>
      </c>
      <c r="H38" s="6">
        <f t="shared" si="5"/>
        <v>0.60112324468564116</v>
      </c>
      <c r="I38" s="2"/>
      <c r="J38" s="2">
        <v>1350</v>
      </c>
      <c r="K38" s="2">
        <f t="shared" si="6"/>
        <v>1623.15</v>
      </c>
      <c r="L38" s="6">
        <f t="shared" si="11"/>
        <v>0.21033306836596138</v>
      </c>
      <c r="M38" s="6">
        <f t="shared" si="12"/>
        <v>1.0516653418298068</v>
      </c>
      <c r="N38" s="6">
        <f t="shared" si="13"/>
        <v>2.1033306836596135</v>
      </c>
      <c r="O38" s="6">
        <f t="shared" si="14"/>
        <v>3.1549960254894205</v>
      </c>
      <c r="P38" s="6">
        <f t="shared" si="15"/>
        <v>4.206661367319227</v>
      </c>
      <c r="R38" s="2">
        <v>1350</v>
      </c>
      <c r="S38" s="2">
        <f t="shared" si="7"/>
        <v>1623.15</v>
      </c>
      <c r="T38" s="6">
        <f t="shared" si="16"/>
        <v>0.98577905064673788</v>
      </c>
      <c r="U38" s="6">
        <f t="shared" si="17"/>
        <v>4.9288952532336898</v>
      </c>
      <c r="V38" s="6">
        <f t="shared" si="18"/>
        <v>9.8577905064673796</v>
      </c>
      <c r="W38" s="6">
        <f t="shared" si="19"/>
        <v>14.786685759701067</v>
      </c>
      <c r="X38" s="6">
        <f t="shared" si="20"/>
        <v>19.715581012934759</v>
      </c>
      <c r="Z38" s="2">
        <v>1350</v>
      </c>
      <c r="AA38" s="2">
        <f t="shared" si="8"/>
        <v>1623.15</v>
      </c>
      <c r="AB38" s="6">
        <f t="shared" si="21"/>
        <v>0.62920469528674416</v>
      </c>
      <c r="AC38" s="6">
        <f t="shared" si="22"/>
        <v>3.1460234764337209</v>
      </c>
      <c r="AD38" s="6">
        <f t="shared" si="23"/>
        <v>6.2920469528674419</v>
      </c>
      <c r="AE38" s="6">
        <f t="shared" si="24"/>
        <v>9.4380704293011615</v>
      </c>
      <c r="AF38" s="6">
        <f t="shared" si="25"/>
        <v>12.584093905734884</v>
      </c>
      <c r="AH38" s="2">
        <v>1350</v>
      </c>
      <c r="AI38" s="2">
        <f t="shared" si="9"/>
        <v>1623.15</v>
      </c>
      <c r="AJ38" s="6">
        <f t="shared" si="26"/>
        <v>0.29994593278418674</v>
      </c>
      <c r="AK38" s="6">
        <f t="shared" si="27"/>
        <v>1.4997296639209339</v>
      </c>
      <c r="AL38" s="6">
        <f t="shared" si="28"/>
        <v>2.9994593278418678</v>
      </c>
      <c r="AM38" s="6">
        <f t="shared" si="29"/>
        <v>4.4991889917628018</v>
      </c>
      <c r="AN38" s="6">
        <f t="shared" si="30"/>
        <v>5.9989186556837355</v>
      </c>
      <c r="AP38" s="2">
        <v>1350</v>
      </c>
      <c r="AQ38" s="2">
        <f t="shared" si="10"/>
        <v>1623.15</v>
      </c>
      <c r="AR38" s="6">
        <f t="shared" si="31"/>
        <v>0.15151219028867791</v>
      </c>
      <c r="AS38" s="6">
        <f t="shared" si="32"/>
        <v>0.75756095144338953</v>
      </c>
      <c r="AT38" s="6">
        <f t="shared" si="33"/>
        <v>1.5151219028867791</v>
      </c>
      <c r="AU38" s="6">
        <f t="shared" si="34"/>
        <v>2.2726828543301685</v>
      </c>
      <c r="AV38" s="6">
        <f t="shared" si="35"/>
        <v>3.0302438057735581</v>
      </c>
    </row>
    <row r="39" spans="2:48" x14ac:dyDescent="0.35">
      <c r="B39" s="2">
        <v>1400</v>
      </c>
      <c r="C39" s="2">
        <f t="shared" si="0"/>
        <v>1673.15</v>
      </c>
      <c r="D39" s="6">
        <f t="shared" si="1"/>
        <v>2.9157971329871753E-2</v>
      </c>
      <c r="E39" s="6">
        <f t="shared" si="2"/>
        <v>0.14578985664935876</v>
      </c>
      <c r="F39" s="6">
        <f t="shared" si="3"/>
        <v>0.29157971329871751</v>
      </c>
      <c r="G39" s="6">
        <f t="shared" si="4"/>
        <v>0.4373695699480763</v>
      </c>
      <c r="H39" s="6">
        <f t="shared" si="5"/>
        <v>0.58315942659743503</v>
      </c>
      <c r="I39" s="2"/>
      <c r="J39" s="2">
        <v>1400</v>
      </c>
      <c r="K39" s="2">
        <f t="shared" si="6"/>
        <v>1673.15</v>
      </c>
      <c r="L39" s="6">
        <f t="shared" si="11"/>
        <v>0.20404752707062143</v>
      </c>
      <c r="M39" s="6">
        <f t="shared" si="12"/>
        <v>1.0202376353531071</v>
      </c>
      <c r="N39" s="6">
        <f t="shared" si="13"/>
        <v>2.0404752707062142</v>
      </c>
      <c r="O39" s="6">
        <f t="shared" si="14"/>
        <v>3.060712906059321</v>
      </c>
      <c r="P39" s="6">
        <f t="shared" si="15"/>
        <v>4.0809505414124283</v>
      </c>
      <c r="R39" s="2">
        <v>1400</v>
      </c>
      <c r="S39" s="2">
        <f t="shared" si="7"/>
        <v>1673.15</v>
      </c>
      <c r="T39" s="6">
        <f t="shared" si="16"/>
        <v>0.95632027376938877</v>
      </c>
      <c r="U39" s="6">
        <f t="shared" si="17"/>
        <v>4.7816013688469434</v>
      </c>
      <c r="V39" s="6">
        <f t="shared" si="18"/>
        <v>9.5632027376938868</v>
      </c>
      <c r="W39" s="6">
        <f t="shared" si="19"/>
        <v>14.344804106540829</v>
      </c>
      <c r="X39" s="6">
        <f t="shared" si="20"/>
        <v>19.126405475387774</v>
      </c>
      <c r="Z39" s="2">
        <v>1400</v>
      </c>
      <c r="AA39" s="2">
        <f t="shared" si="8"/>
        <v>1673.15</v>
      </c>
      <c r="AB39" s="6">
        <f t="shared" si="21"/>
        <v>0.61040169808724787</v>
      </c>
      <c r="AC39" s="6">
        <f t="shared" si="22"/>
        <v>3.0520084904362395</v>
      </c>
      <c r="AD39" s="6">
        <f t="shared" si="23"/>
        <v>6.1040169808724789</v>
      </c>
      <c r="AE39" s="6">
        <f t="shared" si="24"/>
        <v>9.1560254713087179</v>
      </c>
      <c r="AF39" s="6">
        <f t="shared" si="25"/>
        <v>12.208033961744958</v>
      </c>
      <c r="AH39" s="2">
        <v>1400</v>
      </c>
      <c r="AI39" s="2">
        <f t="shared" si="9"/>
        <v>1673.15</v>
      </c>
      <c r="AJ39" s="6">
        <f t="shared" si="26"/>
        <v>0.29098242285428849</v>
      </c>
      <c r="AK39" s="6">
        <f t="shared" si="27"/>
        <v>1.4549121142714425</v>
      </c>
      <c r="AL39" s="6">
        <f t="shared" si="28"/>
        <v>2.909824228542885</v>
      </c>
      <c r="AM39" s="6">
        <f t="shared" si="29"/>
        <v>4.3647363428143278</v>
      </c>
      <c r="AN39" s="6">
        <f t="shared" si="30"/>
        <v>5.8196484570857701</v>
      </c>
      <c r="AP39" s="2">
        <v>1400</v>
      </c>
      <c r="AQ39" s="2">
        <f t="shared" si="10"/>
        <v>1673.15</v>
      </c>
      <c r="AR39" s="6">
        <f t="shared" si="31"/>
        <v>0.14698443753821688</v>
      </c>
      <c r="AS39" s="6">
        <f t="shared" si="32"/>
        <v>0.73492218769108442</v>
      </c>
      <c r="AT39" s="6">
        <f t="shared" si="33"/>
        <v>1.4698443753821688</v>
      </c>
      <c r="AU39" s="6">
        <f t="shared" si="34"/>
        <v>2.2047665630732531</v>
      </c>
      <c r="AV39" s="6">
        <f t="shared" si="35"/>
        <v>2.9396887507643377</v>
      </c>
    </row>
    <row r="40" spans="2:48" x14ac:dyDescent="0.35">
      <c r="B40" s="2">
        <v>1450</v>
      </c>
      <c r="C40" s="2">
        <f t="shared" si="0"/>
        <v>1723.15</v>
      </c>
      <c r="D40" s="6">
        <f t="shared" si="1"/>
        <v>2.831190536550789E-2</v>
      </c>
      <c r="E40" s="6">
        <f t="shared" si="2"/>
        <v>0.14155952682753944</v>
      </c>
      <c r="F40" s="6">
        <f t="shared" si="3"/>
        <v>0.28311905365507889</v>
      </c>
      <c r="G40" s="6">
        <f t="shared" si="4"/>
        <v>0.42467858048261836</v>
      </c>
      <c r="H40" s="6">
        <f t="shared" si="5"/>
        <v>0.56623810731015778</v>
      </c>
      <c r="I40" s="2"/>
      <c r="J40" s="2">
        <v>1450</v>
      </c>
      <c r="K40" s="2">
        <f t="shared" si="6"/>
        <v>1723.15</v>
      </c>
      <c r="L40" s="6">
        <f t="shared" si="11"/>
        <v>0.19812675618385528</v>
      </c>
      <c r="M40" s="6">
        <f t="shared" si="12"/>
        <v>0.99063378091927634</v>
      </c>
      <c r="N40" s="6">
        <f t="shared" si="13"/>
        <v>1.9812675618385527</v>
      </c>
      <c r="O40" s="6">
        <f t="shared" si="14"/>
        <v>2.9719013427578291</v>
      </c>
      <c r="P40" s="6">
        <f t="shared" si="15"/>
        <v>3.9625351236771054</v>
      </c>
      <c r="R40" s="2">
        <v>1450</v>
      </c>
      <c r="S40" s="2">
        <f t="shared" si="7"/>
        <v>1723.15</v>
      </c>
      <c r="T40" s="6">
        <f t="shared" si="16"/>
        <v>0.92857108554522394</v>
      </c>
      <c r="U40" s="6">
        <f t="shared" si="17"/>
        <v>4.6428554277261194</v>
      </c>
      <c r="V40" s="6">
        <f t="shared" si="18"/>
        <v>9.2857108554522387</v>
      </c>
      <c r="W40" s="6">
        <f t="shared" si="19"/>
        <v>13.928566283178359</v>
      </c>
      <c r="X40" s="6">
        <f t="shared" si="20"/>
        <v>18.571421710904477</v>
      </c>
      <c r="Z40" s="2">
        <v>1450</v>
      </c>
      <c r="AA40" s="2">
        <f t="shared" si="8"/>
        <v>1723.15</v>
      </c>
      <c r="AB40" s="6">
        <f t="shared" si="21"/>
        <v>0.59268989998240362</v>
      </c>
      <c r="AC40" s="6">
        <f t="shared" si="22"/>
        <v>2.9634494999120182</v>
      </c>
      <c r="AD40" s="6">
        <f t="shared" si="23"/>
        <v>5.9268989998240365</v>
      </c>
      <c r="AE40" s="6">
        <f t="shared" si="24"/>
        <v>8.8903484997360529</v>
      </c>
      <c r="AF40" s="6">
        <f t="shared" si="25"/>
        <v>11.853797999648073</v>
      </c>
      <c r="AH40" s="2">
        <v>1450</v>
      </c>
      <c r="AI40" s="2">
        <f t="shared" si="9"/>
        <v>1723.15</v>
      </c>
      <c r="AJ40" s="6">
        <f t="shared" si="26"/>
        <v>0.28253909456440401</v>
      </c>
      <c r="AK40" s="6">
        <f t="shared" si="27"/>
        <v>1.41269547282202</v>
      </c>
      <c r="AL40" s="6">
        <f t="shared" si="28"/>
        <v>2.82539094564404</v>
      </c>
      <c r="AM40" s="6">
        <f t="shared" si="29"/>
        <v>4.23808641846606</v>
      </c>
      <c r="AN40" s="6">
        <f t="shared" si="30"/>
        <v>5.6507818912880801</v>
      </c>
      <c r="AP40" s="2">
        <v>1450</v>
      </c>
      <c r="AQ40" s="2">
        <f t="shared" si="10"/>
        <v>1723.15</v>
      </c>
      <c r="AR40" s="6">
        <f t="shared" si="31"/>
        <v>0.14271944500888928</v>
      </c>
      <c r="AS40" s="6">
        <f t="shared" si="32"/>
        <v>0.71359722504444634</v>
      </c>
      <c r="AT40" s="6">
        <f t="shared" si="33"/>
        <v>1.4271944500888927</v>
      </c>
      <c r="AU40" s="6">
        <f t="shared" si="34"/>
        <v>2.1407916751333391</v>
      </c>
      <c r="AV40" s="6">
        <f t="shared" si="35"/>
        <v>2.8543889001777853</v>
      </c>
    </row>
    <row r="41" spans="2:48" x14ac:dyDescent="0.35">
      <c r="B41" s="2">
        <v>1500</v>
      </c>
      <c r="C41" s="2">
        <f t="shared" si="0"/>
        <v>1773.15</v>
      </c>
      <c r="D41" s="6">
        <f t="shared" si="1"/>
        <v>2.7513554820841397E-2</v>
      </c>
      <c r="E41" s="6">
        <f t="shared" si="2"/>
        <v>0.13756777410420701</v>
      </c>
      <c r="F41" s="6">
        <f t="shared" si="3"/>
        <v>0.27513554820841402</v>
      </c>
      <c r="G41" s="6">
        <f t="shared" si="4"/>
        <v>0.41270332231262097</v>
      </c>
      <c r="H41" s="6">
        <f t="shared" si="5"/>
        <v>0.55027109641682803</v>
      </c>
      <c r="I41" s="2"/>
      <c r="J41" s="2">
        <v>1500</v>
      </c>
      <c r="K41" s="2">
        <f t="shared" si="6"/>
        <v>1773.15</v>
      </c>
      <c r="L41" s="6">
        <f t="shared" si="11"/>
        <v>0.19253989787565082</v>
      </c>
      <c r="M41" s="6">
        <f t="shared" si="12"/>
        <v>0.96269948937825411</v>
      </c>
      <c r="N41" s="6">
        <f t="shared" si="13"/>
        <v>1.9253989787565082</v>
      </c>
      <c r="O41" s="6">
        <f t="shared" si="14"/>
        <v>2.8880984681347619</v>
      </c>
      <c r="P41" s="6">
        <f t="shared" si="15"/>
        <v>3.8507979575130165</v>
      </c>
      <c r="R41" s="2">
        <v>1500</v>
      </c>
      <c r="S41" s="2">
        <f t="shared" si="7"/>
        <v>1773.15</v>
      </c>
      <c r="T41" s="6">
        <f t="shared" si="16"/>
        <v>0.90238686295984705</v>
      </c>
      <c r="U41" s="6">
        <f t="shared" si="17"/>
        <v>4.5119343147992348</v>
      </c>
      <c r="V41" s="6">
        <f t="shared" si="18"/>
        <v>9.0238686295984696</v>
      </c>
      <c r="W41" s="6">
        <f t="shared" si="19"/>
        <v>13.535802944397705</v>
      </c>
      <c r="X41" s="6">
        <f t="shared" si="20"/>
        <v>18.047737259196939</v>
      </c>
      <c r="Z41" s="2">
        <v>1500</v>
      </c>
      <c r="AA41" s="2">
        <f t="shared" si="8"/>
        <v>1773.15</v>
      </c>
      <c r="AB41" s="6">
        <f t="shared" si="21"/>
        <v>0.57597699075356223</v>
      </c>
      <c r="AC41" s="6">
        <f t="shared" si="22"/>
        <v>2.8798849537678111</v>
      </c>
      <c r="AD41" s="6">
        <f t="shared" si="23"/>
        <v>5.7597699075356221</v>
      </c>
      <c r="AE41" s="6">
        <f t="shared" si="24"/>
        <v>8.6396548613034323</v>
      </c>
      <c r="AF41" s="6">
        <f t="shared" si="25"/>
        <v>11.519539815071244</v>
      </c>
      <c r="AH41" s="2">
        <v>1500</v>
      </c>
      <c r="AI41" s="2">
        <f t="shared" si="9"/>
        <v>1773.15</v>
      </c>
      <c r="AJ41" s="6">
        <f t="shared" si="26"/>
        <v>0.27457194303846422</v>
      </c>
      <c r="AK41" s="6">
        <f t="shared" si="27"/>
        <v>1.372859715192321</v>
      </c>
      <c r="AL41" s="6">
        <f t="shared" si="28"/>
        <v>2.7457194303846419</v>
      </c>
      <c r="AM41" s="6">
        <f t="shared" si="29"/>
        <v>4.1185791455769634</v>
      </c>
      <c r="AN41" s="6">
        <f t="shared" si="30"/>
        <v>5.4914388607692839</v>
      </c>
      <c r="AP41" s="2">
        <v>1500</v>
      </c>
      <c r="AQ41" s="2">
        <f t="shared" si="10"/>
        <v>1773.15</v>
      </c>
      <c r="AR41" s="6">
        <f t="shared" si="31"/>
        <v>0.13869498444410658</v>
      </c>
      <c r="AS41" s="6">
        <f t="shared" si="32"/>
        <v>0.69347492222053286</v>
      </c>
      <c r="AT41" s="6">
        <f t="shared" si="33"/>
        <v>1.3869498444410657</v>
      </c>
      <c r="AU41" s="6">
        <f t="shared" si="34"/>
        <v>2.0804247666615985</v>
      </c>
      <c r="AV41" s="6">
        <f t="shared" si="35"/>
        <v>2.7738996888821315</v>
      </c>
    </row>
    <row r="42" spans="2:48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4" spans="2:48" x14ac:dyDescent="0.35">
      <c r="B44" s="7" t="s">
        <v>0</v>
      </c>
      <c r="C44" s="7"/>
      <c r="D44" s="7"/>
      <c r="E44" s="7"/>
      <c r="F44" s="7"/>
      <c r="G44" s="7"/>
      <c r="J44" s="7"/>
      <c r="K44" s="7"/>
      <c r="L44" s="7"/>
      <c r="M44" s="7"/>
      <c r="N44" s="7"/>
      <c r="O44" s="7"/>
      <c r="R44" s="7" t="s">
        <v>4</v>
      </c>
      <c r="S44" s="7"/>
      <c r="T44" s="7"/>
      <c r="U44" s="7"/>
      <c r="V44" s="7"/>
      <c r="W44" s="7"/>
      <c r="AH44" s="7" t="s">
        <v>2</v>
      </c>
      <c r="AI44" s="7"/>
      <c r="AJ44" s="7"/>
      <c r="AK44" s="7"/>
      <c r="AL44" s="7"/>
      <c r="AM44" s="7"/>
      <c r="AP44" s="7" t="s">
        <v>1</v>
      </c>
      <c r="AQ44" s="7"/>
      <c r="AR44" s="7"/>
      <c r="AS44" s="7"/>
      <c r="AT44" s="7"/>
      <c r="AU44" s="7"/>
    </row>
    <row r="45" spans="2:48" x14ac:dyDescent="0.35">
      <c r="B45" s="2" t="s">
        <v>17</v>
      </c>
      <c r="C45" s="2" t="s">
        <v>22</v>
      </c>
      <c r="D45" s="2" t="s">
        <v>18</v>
      </c>
      <c r="E45" s="2" t="s">
        <v>19</v>
      </c>
      <c r="F45" s="2" t="s">
        <v>20</v>
      </c>
      <c r="G45" s="2" t="s">
        <v>21</v>
      </c>
      <c r="J45" s="2"/>
      <c r="K45" s="2"/>
      <c r="L45" s="2"/>
      <c r="M45" s="2"/>
      <c r="N45" s="2"/>
      <c r="O45" s="2"/>
      <c r="R45" s="2" t="s">
        <v>17</v>
      </c>
      <c r="S45" s="2" t="s">
        <v>22</v>
      </c>
      <c r="T45" s="2" t="s">
        <v>18</v>
      </c>
      <c r="U45" s="2" t="s">
        <v>19</v>
      </c>
      <c r="V45" s="2" t="s">
        <v>20</v>
      </c>
      <c r="W45" s="2" t="s">
        <v>21</v>
      </c>
      <c r="AH45" s="2" t="s">
        <v>17</v>
      </c>
      <c r="AI45" s="2" t="s">
        <v>22</v>
      </c>
      <c r="AJ45" s="2" t="s">
        <v>18</v>
      </c>
      <c r="AK45" s="2" t="s">
        <v>19</v>
      </c>
      <c r="AL45" s="2" t="s">
        <v>20</v>
      </c>
      <c r="AM45" s="2" t="s">
        <v>21</v>
      </c>
      <c r="AP45" s="2" t="s">
        <v>17</v>
      </c>
      <c r="AQ45" s="2" t="s">
        <v>22</v>
      </c>
      <c r="AR45" s="2" t="s">
        <v>18</v>
      </c>
      <c r="AS45" s="2" t="s">
        <v>19</v>
      </c>
      <c r="AT45" s="2" t="s">
        <v>20</v>
      </c>
      <c r="AU45" s="2" t="s">
        <v>21</v>
      </c>
    </row>
    <row r="46" spans="2:48" x14ac:dyDescent="0.35">
      <c r="B46" s="2" t="s">
        <v>7</v>
      </c>
      <c r="C46" s="2" t="s">
        <v>16</v>
      </c>
      <c r="D46" s="2" t="s">
        <v>8</v>
      </c>
      <c r="E46" s="2" t="s">
        <v>9</v>
      </c>
      <c r="F46" s="2" t="s">
        <v>6</v>
      </c>
      <c r="G46" s="3" t="s">
        <v>13</v>
      </c>
      <c r="J46" s="2"/>
      <c r="K46" s="2"/>
      <c r="L46" s="2"/>
      <c r="M46" s="2"/>
      <c r="N46" s="2"/>
      <c r="O46" s="3"/>
      <c r="R46" s="2" t="s">
        <v>7</v>
      </c>
      <c r="S46" s="2" t="s">
        <v>5</v>
      </c>
      <c r="T46" s="2" t="s">
        <v>8</v>
      </c>
      <c r="U46" s="2" t="s">
        <v>9</v>
      </c>
      <c r="V46" s="2" t="s">
        <v>6</v>
      </c>
      <c r="W46" s="3" t="s">
        <v>13</v>
      </c>
      <c r="AH46" s="2" t="s">
        <v>7</v>
      </c>
      <c r="AI46" s="2" t="s">
        <v>5</v>
      </c>
      <c r="AJ46" s="2" t="s">
        <v>8</v>
      </c>
      <c r="AK46" s="2" t="s">
        <v>9</v>
      </c>
      <c r="AL46" s="2" t="s">
        <v>6</v>
      </c>
      <c r="AM46" s="3" t="s">
        <v>13</v>
      </c>
      <c r="AP46" s="2" t="s">
        <v>7</v>
      </c>
      <c r="AQ46" s="2" t="s">
        <v>5</v>
      </c>
      <c r="AR46" s="2" t="s">
        <v>8</v>
      </c>
      <c r="AS46" s="2" t="s">
        <v>9</v>
      </c>
      <c r="AT46" s="2" t="s">
        <v>6</v>
      </c>
      <c r="AU46" s="3" t="s">
        <v>13</v>
      </c>
    </row>
    <row r="47" spans="2:48" x14ac:dyDescent="0.35">
      <c r="B47" s="4" t="s">
        <v>10</v>
      </c>
      <c r="C47" s="4" t="s">
        <v>12</v>
      </c>
      <c r="D47" s="5" t="s">
        <v>15</v>
      </c>
      <c r="E47" s="4" t="s">
        <v>14</v>
      </c>
      <c r="F47" s="2" t="s">
        <v>11</v>
      </c>
      <c r="G47" s="4"/>
      <c r="J47" s="4"/>
      <c r="K47" s="4"/>
      <c r="L47" s="5"/>
      <c r="M47" s="4"/>
      <c r="N47" s="2"/>
      <c r="O47" s="4"/>
      <c r="R47" s="4" t="s">
        <v>10</v>
      </c>
      <c r="S47" s="4" t="s">
        <v>12</v>
      </c>
      <c r="T47" s="5" t="s">
        <v>15</v>
      </c>
      <c r="U47" s="4" t="s">
        <v>14</v>
      </c>
      <c r="V47" s="2" t="s">
        <v>11</v>
      </c>
      <c r="W47" s="4"/>
      <c r="AH47" s="4" t="s">
        <v>10</v>
      </c>
      <c r="AI47" s="4" t="s">
        <v>12</v>
      </c>
      <c r="AJ47" s="5" t="s">
        <v>15</v>
      </c>
      <c r="AK47" s="4" t="s">
        <v>14</v>
      </c>
      <c r="AL47" s="2" t="s">
        <v>11</v>
      </c>
      <c r="AM47" s="4"/>
      <c r="AP47" s="4" t="s">
        <v>10</v>
      </c>
      <c r="AQ47" s="4" t="s">
        <v>12</v>
      </c>
      <c r="AR47" s="5" t="s">
        <v>15</v>
      </c>
      <c r="AS47" s="4" t="s">
        <v>14</v>
      </c>
      <c r="AT47" s="2" t="s">
        <v>11</v>
      </c>
      <c r="AU47" s="4"/>
    </row>
    <row r="48" spans="2:48" x14ac:dyDescent="0.35">
      <c r="B48" s="4">
        <v>0</v>
      </c>
      <c r="C48" s="4">
        <v>-22.41</v>
      </c>
      <c r="D48" s="4">
        <v>21.08</v>
      </c>
      <c r="E48" s="4">
        <v>16.46</v>
      </c>
      <c r="F48" s="4">
        <v>0.1545</v>
      </c>
      <c r="G48" s="4">
        <v>0.2263</v>
      </c>
      <c r="J48" s="4"/>
      <c r="K48" s="4"/>
      <c r="L48" s="4"/>
      <c r="M48" s="4"/>
      <c r="N48" s="4"/>
      <c r="O48" s="4"/>
      <c r="R48" s="1" t="s">
        <v>3</v>
      </c>
      <c r="S48" s="1">
        <v>-151.47</v>
      </c>
      <c r="T48" s="1">
        <v>21.04</v>
      </c>
      <c r="U48" s="1">
        <v>5</v>
      </c>
      <c r="V48">
        <v>4.7899999999999998E-2</v>
      </c>
      <c r="W48" s="1">
        <v>4.7899999999999998E-2</v>
      </c>
      <c r="AH48" s="1" t="s">
        <v>3</v>
      </c>
      <c r="AI48" s="1">
        <v>-22.41</v>
      </c>
      <c r="AJ48" s="1">
        <v>21.08</v>
      </c>
      <c r="AK48" s="1">
        <v>16.46</v>
      </c>
      <c r="AL48" s="1">
        <v>0.1545</v>
      </c>
      <c r="AM48" s="2">
        <v>0.2263</v>
      </c>
      <c r="AP48" s="4">
        <v>0</v>
      </c>
      <c r="AQ48" s="4">
        <v>-151.47</v>
      </c>
      <c r="AR48" s="4">
        <v>21.04</v>
      </c>
      <c r="AS48" s="4">
        <v>5</v>
      </c>
      <c r="AT48" s="4">
        <v>4.7899999999999998E-2</v>
      </c>
      <c r="AU48" s="4">
        <v>6.4299999999999996E-2</v>
      </c>
    </row>
    <row r="49" spans="2:47" x14ac:dyDescent="0.35">
      <c r="B49" s="4">
        <v>20</v>
      </c>
      <c r="C49" s="4">
        <v>-17.82</v>
      </c>
      <c r="D49" s="4">
        <v>22.39</v>
      </c>
      <c r="E49" s="4">
        <v>17.489999999999998</v>
      </c>
      <c r="F49" s="4">
        <v>0.1762</v>
      </c>
      <c r="G49" s="4">
        <v>0.247</v>
      </c>
      <c r="J49" s="4"/>
      <c r="K49" s="4"/>
      <c r="L49" s="4"/>
      <c r="M49" s="4"/>
      <c r="N49" s="4"/>
      <c r="O49" s="4"/>
      <c r="R49" s="1">
        <v>20</v>
      </c>
      <c r="S49" s="1">
        <v>-132.03</v>
      </c>
      <c r="T49" s="1">
        <v>22.62</v>
      </c>
      <c r="U49" s="1">
        <v>5.37</v>
      </c>
      <c r="V49">
        <v>5.5100000000000003E-2</v>
      </c>
      <c r="W49" s="1">
        <v>5.5100000000000003E-2</v>
      </c>
      <c r="AH49" s="1">
        <v>20</v>
      </c>
      <c r="AI49" s="1">
        <v>-17.82</v>
      </c>
      <c r="AJ49" s="1">
        <v>22.39</v>
      </c>
      <c r="AK49" s="1">
        <v>17.489999999999998</v>
      </c>
      <c r="AL49" s="1">
        <v>0.1762</v>
      </c>
      <c r="AM49" s="2">
        <v>0.247</v>
      </c>
      <c r="AP49" s="4">
        <v>20</v>
      </c>
      <c r="AQ49" s="4">
        <v>-132.03</v>
      </c>
      <c r="AR49" s="4">
        <v>22.62</v>
      </c>
      <c r="AS49" s="4">
        <v>5.37</v>
      </c>
      <c r="AT49" s="4">
        <v>5.5100000000000003E-2</v>
      </c>
      <c r="AU49" s="4">
        <v>7.0499999999999993E-2</v>
      </c>
    </row>
    <row r="50" spans="2:47" x14ac:dyDescent="0.35">
      <c r="B50" s="4">
        <v>40</v>
      </c>
      <c r="C50" s="4">
        <v>-13.87</v>
      </c>
      <c r="D50" s="4">
        <v>23.66</v>
      </c>
      <c r="E50" s="4">
        <v>18.489999999999998</v>
      </c>
      <c r="F50" s="4">
        <v>0.1991</v>
      </c>
      <c r="G50" s="4">
        <v>0.26629999999999998</v>
      </c>
      <c r="J50" s="4"/>
      <c r="K50" s="4"/>
      <c r="L50" s="4"/>
      <c r="M50" s="4"/>
      <c r="N50" s="4"/>
      <c r="O50" s="4"/>
      <c r="R50" s="1">
        <v>40</v>
      </c>
      <c r="S50" s="1">
        <v>-116.35</v>
      </c>
      <c r="T50" s="1">
        <v>24.19</v>
      </c>
      <c r="U50" s="1">
        <v>5.75</v>
      </c>
      <c r="V50">
        <v>6.2700000000000006E-2</v>
      </c>
      <c r="W50" s="1">
        <v>6.2700000000000006E-2</v>
      </c>
      <c r="AH50" s="1">
        <v>40</v>
      </c>
      <c r="AI50" s="1">
        <v>-13.87</v>
      </c>
      <c r="AJ50" s="1">
        <v>23.66</v>
      </c>
      <c r="AK50" s="1">
        <v>18.489999999999998</v>
      </c>
      <c r="AL50" s="1">
        <v>0.1991</v>
      </c>
      <c r="AM50" s="2">
        <v>0.26629999999999998</v>
      </c>
      <c r="AP50" s="4">
        <v>40</v>
      </c>
      <c r="AQ50" s="4">
        <v>-116.35</v>
      </c>
      <c r="AR50" s="4">
        <v>24.19</v>
      </c>
      <c r="AS50" s="4">
        <v>5.75</v>
      </c>
      <c r="AT50" s="4">
        <v>6.2700000000000006E-2</v>
      </c>
      <c r="AU50" s="4">
        <v>8.1100000000000005E-2</v>
      </c>
    </row>
    <row r="51" spans="2:47" x14ac:dyDescent="0.35">
      <c r="B51" s="4">
        <v>60</v>
      </c>
      <c r="C51" s="4">
        <v>-10.45</v>
      </c>
      <c r="D51" s="4">
        <v>24.9</v>
      </c>
      <c r="E51" s="4">
        <v>19.46</v>
      </c>
      <c r="F51" s="4">
        <v>0.22309999999999999</v>
      </c>
      <c r="G51" s="4">
        <v>0.2843</v>
      </c>
      <c r="J51" s="4"/>
      <c r="K51" s="4"/>
      <c r="L51" s="4"/>
      <c r="M51" s="4"/>
      <c r="N51" s="4"/>
      <c r="O51" s="4"/>
      <c r="R51" s="1">
        <v>60</v>
      </c>
      <c r="S51" s="1">
        <v>-103.16</v>
      </c>
      <c r="T51" s="1">
        <v>25.75</v>
      </c>
      <c r="U51" s="1">
        <v>6.11</v>
      </c>
      <c r="V51">
        <v>7.0699999999999999E-2</v>
      </c>
      <c r="W51" s="1">
        <v>7.0699999999999999E-2</v>
      </c>
      <c r="AH51" s="1">
        <v>60</v>
      </c>
      <c r="AI51" s="1">
        <v>-10.45</v>
      </c>
      <c r="AJ51" s="1">
        <v>24.9</v>
      </c>
      <c r="AK51" s="1">
        <v>19.46</v>
      </c>
      <c r="AL51" s="1">
        <v>0.22309999999999999</v>
      </c>
      <c r="AM51" s="2">
        <v>0.2843</v>
      </c>
      <c r="AP51" s="4">
        <v>60</v>
      </c>
      <c r="AQ51" s="4">
        <v>-103.16</v>
      </c>
      <c r="AR51" s="4">
        <v>25.75</v>
      </c>
      <c r="AS51" s="4">
        <v>6.11</v>
      </c>
      <c r="AT51" s="4">
        <v>7.0699999999999999E-2</v>
      </c>
      <c r="AU51" s="4">
        <v>9.5100000000000004E-2</v>
      </c>
    </row>
    <row r="52" spans="2:47" x14ac:dyDescent="0.35">
      <c r="B52" s="4">
        <v>80</v>
      </c>
      <c r="C52" s="4">
        <v>-7.44</v>
      </c>
      <c r="D52" s="4">
        <v>26.11</v>
      </c>
      <c r="E52" s="4">
        <v>20.41</v>
      </c>
      <c r="F52" s="4">
        <v>0.24829999999999999</v>
      </c>
      <c r="G52" s="4">
        <v>0.30109999999999998</v>
      </c>
      <c r="J52" s="4"/>
      <c r="K52" s="4"/>
      <c r="L52" s="4"/>
      <c r="M52" s="4"/>
      <c r="N52" s="4"/>
      <c r="O52" s="4"/>
      <c r="R52" s="1">
        <v>80</v>
      </c>
      <c r="S52" s="1">
        <v>-91.88</v>
      </c>
      <c r="T52" s="1">
        <v>27.28</v>
      </c>
      <c r="U52" s="1">
        <v>6.48</v>
      </c>
      <c r="V52">
        <v>7.9200000000000007E-2</v>
      </c>
      <c r="W52" s="1">
        <v>7.9200000000000007E-2</v>
      </c>
      <c r="AH52" s="1">
        <v>80</v>
      </c>
      <c r="AI52" s="1">
        <v>-7.44</v>
      </c>
      <c r="AJ52" s="1">
        <v>26.11</v>
      </c>
      <c r="AK52" s="1">
        <v>20.41</v>
      </c>
      <c r="AL52" s="1">
        <v>0.24829999999999999</v>
      </c>
      <c r="AM52" s="2">
        <v>0.30109999999999998</v>
      </c>
      <c r="AP52" s="4">
        <v>80</v>
      </c>
      <c r="AQ52" s="4">
        <v>-91.88</v>
      </c>
      <c r="AR52" s="4">
        <v>27.28</v>
      </c>
      <c r="AS52" s="4">
        <v>6.48</v>
      </c>
      <c r="AT52" s="4">
        <v>7.9200000000000007E-2</v>
      </c>
      <c r="AU52" s="4">
        <v>0.11070000000000001</v>
      </c>
    </row>
    <row r="53" spans="2:47" x14ac:dyDescent="0.35">
      <c r="B53" s="4">
        <v>100</v>
      </c>
      <c r="C53" s="4">
        <v>-4.79</v>
      </c>
      <c r="D53" s="4">
        <v>27.29</v>
      </c>
      <c r="E53" s="4">
        <v>21.33</v>
      </c>
      <c r="F53" s="4">
        <v>0.27450000000000002</v>
      </c>
      <c r="G53" s="4">
        <v>0.31680000000000003</v>
      </c>
      <c r="J53" s="4"/>
      <c r="K53" s="4"/>
      <c r="L53" s="4"/>
      <c r="M53" s="4"/>
      <c r="N53" s="4"/>
      <c r="O53" s="4"/>
      <c r="R53" s="1">
        <v>100</v>
      </c>
      <c r="S53" s="1">
        <v>-82.11</v>
      </c>
      <c r="T53" s="1">
        <v>28.77</v>
      </c>
      <c r="U53" s="1">
        <v>6.83</v>
      </c>
      <c r="V53">
        <v>8.7999999999999995E-2</v>
      </c>
      <c r="W53" s="1">
        <v>8.7999999999999995E-2</v>
      </c>
      <c r="AH53" s="1">
        <v>100</v>
      </c>
      <c r="AI53" s="1">
        <v>-4.79</v>
      </c>
      <c r="AJ53" s="1">
        <v>27.29</v>
      </c>
      <c r="AK53" s="1">
        <v>21.33</v>
      </c>
      <c r="AL53" s="1">
        <v>0.27450000000000002</v>
      </c>
      <c r="AM53" s="2">
        <v>0.31680000000000003</v>
      </c>
      <c r="AP53" s="4">
        <v>100</v>
      </c>
      <c r="AQ53" s="4">
        <v>-82.11</v>
      </c>
      <c r="AR53" s="4">
        <v>28.77</v>
      </c>
      <c r="AS53" s="4">
        <v>6.83</v>
      </c>
      <c r="AT53" s="4">
        <v>8.7999999999999995E-2</v>
      </c>
      <c r="AU53" s="4">
        <v>0.1258</v>
      </c>
    </row>
    <row r="54" spans="2:47" x14ac:dyDescent="0.35">
      <c r="B54" s="4">
        <v>150</v>
      </c>
      <c r="C54" s="4">
        <v>0.64</v>
      </c>
      <c r="D54" s="4">
        <v>30.11</v>
      </c>
      <c r="E54" s="4">
        <v>23.55</v>
      </c>
      <c r="F54" s="4">
        <v>0.34439999999999998</v>
      </c>
      <c r="G54" s="4">
        <v>0.35160000000000002</v>
      </c>
      <c r="J54" s="4"/>
      <c r="K54" s="4"/>
      <c r="L54" s="4"/>
      <c r="M54" s="4"/>
      <c r="N54" s="4"/>
      <c r="O54" s="4"/>
      <c r="R54" s="1">
        <v>150</v>
      </c>
      <c r="S54" s="1">
        <v>-62.57</v>
      </c>
      <c r="T54" s="1">
        <v>32.39</v>
      </c>
      <c r="U54" s="1">
        <v>7.69</v>
      </c>
      <c r="V54">
        <v>0.112</v>
      </c>
      <c r="W54" s="1">
        <v>0.112</v>
      </c>
      <c r="AH54" s="1">
        <v>150</v>
      </c>
      <c r="AI54" s="1">
        <v>0.64</v>
      </c>
      <c r="AJ54" s="1">
        <v>30.11</v>
      </c>
      <c r="AK54" s="1">
        <v>23.55</v>
      </c>
      <c r="AL54" s="1">
        <v>0.34439999999999998</v>
      </c>
      <c r="AM54" s="2">
        <v>0.35160000000000002</v>
      </c>
      <c r="AP54" s="4">
        <v>150</v>
      </c>
      <c r="AQ54" s="4">
        <v>-62.57</v>
      </c>
      <c r="AR54" s="4">
        <v>32.39</v>
      </c>
      <c r="AS54" s="4">
        <v>7.69</v>
      </c>
      <c r="AT54" s="4">
        <v>0.112</v>
      </c>
      <c r="AU54" s="4">
        <v>0.1613</v>
      </c>
    </row>
    <row r="55" spans="2:47" x14ac:dyDescent="0.35">
      <c r="B55" s="4">
        <v>200</v>
      </c>
      <c r="C55" s="4">
        <v>4.8</v>
      </c>
      <c r="D55" s="4">
        <v>32.79</v>
      </c>
      <c r="E55" s="4">
        <v>25.64</v>
      </c>
      <c r="F55" s="4">
        <v>0.4204</v>
      </c>
      <c r="G55" s="4">
        <v>0.38129999999999997</v>
      </c>
      <c r="J55" s="4"/>
      <c r="K55" s="4"/>
      <c r="L55" s="4"/>
      <c r="M55" s="4"/>
      <c r="N55" s="4"/>
      <c r="O55" s="4"/>
      <c r="R55" s="1">
        <v>200</v>
      </c>
      <c r="S55" s="1">
        <v>-47.85</v>
      </c>
      <c r="T55" s="1">
        <v>35.85</v>
      </c>
      <c r="U55" s="1">
        <v>8.52</v>
      </c>
      <c r="V55">
        <v>0.13850000000000001</v>
      </c>
      <c r="W55" s="1">
        <v>0.13850000000000001</v>
      </c>
      <c r="AH55" s="1">
        <v>200</v>
      </c>
      <c r="AI55" s="1">
        <v>4.8</v>
      </c>
      <c r="AJ55" s="1">
        <v>32.79</v>
      </c>
      <c r="AK55" s="1">
        <v>25.64</v>
      </c>
      <c r="AL55" s="1">
        <v>0.4204</v>
      </c>
      <c r="AM55" s="2">
        <v>0.38129999999999997</v>
      </c>
      <c r="AP55" s="4">
        <v>200</v>
      </c>
      <c r="AQ55" s="4">
        <v>-47.85</v>
      </c>
      <c r="AR55" s="4">
        <v>35.85</v>
      </c>
      <c r="AS55" s="4">
        <v>8.52</v>
      </c>
      <c r="AT55" s="4">
        <v>0.13850000000000001</v>
      </c>
      <c r="AU55" s="4">
        <v>0.19359999999999999</v>
      </c>
    </row>
    <row r="56" spans="2:47" x14ac:dyDescent="0.35">
      <c r="B56" s="4">
        <v>250</v>
      </c>
      <c r="C56" s="4">
        <v>8.0500000000000007</v>
      </c>
      <c r="D56" s="4">
        <v>35.340000000000003</v>
      </c>
      <c r="E56" s="4">
        <v>27.65</v>
      </c>
      <c r="F56" s="4">
        <v>0.50219999999999998</v>
      </c>
      <c r="G56" s="4">
        <v>0.40670000000000001</v>
      </c>
      <c r="J56" s="4"/>
      <c r="K56" s="4"/>
      <c r="L56" s="4"/>
      <c r="M56" s="4"/>
      <c r="N56" s="4"/>
      <c r="O56" s="4"/>
      <c r="R56" s="1">
        <v>250</v>
      </c>
      <c r="S56" s="1">
        <v>-36.32</v>
      </c>
      <c r="T56" s="1">
        <v>39.159999999999997</v>
      </c>
      <c r="U56" s="1">
        <v>9.31</v>
      </c>
      <c r="V56">
        <v>0.1673</v>
      </c>
      <c r="W56" s="1">
        <v>0.1673</v>
      </c>
      <c r="AH56" s="1">
        <v>250</v>
      </c>
      <c r="AI56" s="1">
        <v>8.0500000000000007</v>
      </c>
      <c r="AJ56" s="1">
        <v>35.340000000000003</v>
      </c>
      <c r="AK56" s="1">
        <v>27.65</v>
      </c>
      <c r="AL56" s="1">
        <v>0.50219999999999998</v>
      </c>
      <c r="AM56" s="2">
        <v>0.40670000000000001</v>
      </c>
      <c r="AP56" s="4">
        <v>250</v>
      </c>
      <c r="AQ56" s="4">
        <v>-36.32</v>
      </c>
      <c r="AR56" s="4">
        <v>39.159999999999997</v>
      </c>
      <c r="AS56" s="4">
        <v>9.31</v>
      </c>
      <c r="AT56" s="4">
        <v>0.1673</v>
      </c>
      <c r="AU56" s="4">
        <v>0.22309999999999999</v>
      </c>
    </row>
    <row r="57" spans="2:47" x14ac:dyDescent="0.35">
      <c r="B57" s="4">
        <v>300</v>
      </c>
      <c r="C57" s="4">
        <v>10.63</v>
      </c>
      <c r="D57" s="4">
        <v>37.78</v>
      </c>
      <c r="E57" s="4">
        <v>29.56</v>
      </c>
      <c r="F57" s="4">
        <v>0.58950000000000002</v>
      </c>
      <c r="G57" s="4">
        <v>0.42859999999999998</v>
      </c>
      <c r="J57" s="4"/>
      <c r="K57" s="4"/>
      <c r="L57" s="4"/>
      <c r="M57" s="4"/>
      <c r="N57" s="4"/>
      <c r="O57" s="4"/>
      <c r="R57" s="1">
        <v>300</v>
      </c>
      <c r="S57" s="1">
        <v>-27.03</v>
      </c>
      <c r="T57" s="1">
        <v>42.34</v>
      </c>
      <c r="U57" s="1">
        <v>10.06</v>
      </c>
      <c r="V57">
        <v>0.1983</v>
      </c>
      <c r="W57" s="1">
        <v>0.1983</v>
      </c>
      <c r="AH57" s="1">
        <v>300</v>
      </c>
      <c r="AI57" s="1">
        <v>10.63</v>
      </c>
      <c r="AJ57" s="1">
        <v>37.78</v>
      </c>
      <c r="AK57" s="1">
        <v>29.56</v>
      </c>
      <c r="AL57" s="1">
        <v>0.58950000000000002</v>
      </c>
      <c r="AM57" s="1">
        <v>0.42859999999999998</v>
      </c>
      <c r="AP57" s="4">
        <v>300</v>
      </c>
      <c r="AQ57" s="4">
        <v>-27.03</v>
      </c>
      <c r="AR57" s="4">
        <v>42.34</v>
      </c>
      <c r="AS57" s="4">
        <v>10.06</v>
      </c>
      <c r="AT57" s="4">
        <v>0.1983</v>
      </c>
      <c r="AU57" s="4">
        <v>0.24990000000000001</v>
      </c>
    </row>
    <row r="58" spans="2:47" x14ac:dyDescent="0.35">
      <c r="B58" s="4">
        <v>350</v>
      </c>
      <c r="C58" s="4">
        <v>12.7</v>
      </c>
      <c r="D58" s="4">
        <v>40.119999999999997</v>
      </c>
      <c r="E58" s="4">
        <v>31.4</v>
      </c>
      <c r="F58" s="4">
        <v>0.68200000000000005</v>
      </c>
      <c r="G58" s="4">
        <v>0.44750000000000001</v>
      </c>
      <c r="J58" s="4"/>
      <c r="K58" s="4"/>
      <c r="L58" s="4"/>
      <c r="M58" s="4"/>
      <c r="N58" s="4"/>
      <c r="O58" s="4"/>
      <c r="R58" s="1">
        <v>350</v>
      </c>
      <c r="S58" s="1">
        <v>-19.37</v>
      </c>
      <c r="T58" s="1">
        <v>45.4</v>
      </c>
      <c r="U58" s="1">
        <v>10.79</v>
      </c>
      <c r="V58">
        <v>0.23139999999999999</v>
      </c>
      <c r="W58" s="1">
        <v>0.23139999999999999</v>
      </c>
      <c r="AH58" s="1">
        <v>350</v>
      </c>
      <c r="AI58" s="1">
        <v>12.7</v>
      </c>
      <c r="AJ58" s="1">
        <v>40.119999999999997</v>
      </c>
      <c r="AK58" s="1">
        <v>31.4</v>
      </c>
      <c r="AL58" s="1">
        <v>0.68200000000000005</v>
      </c>
      <c r="AM58" s="2">
        <v>0.44750000000000001</v>
      </c>
      <c r="AP58" s="4">
        <v>350</v>
      </c>
      <c r="AQ58" s="4">
        <v>-19.37</v>
      </c>
      <c r="AR58" s="4">
        <v>45.4</v>
      </c>
      <c r="AS58" s="4">
        <v>10.79</v>
      </c>
      <c r="AT58" s="4">
        <v>0.23139999999999999</v>
      </c>
      <c r="AU58" s="4">
        <v>0.27429999999999999</v>
      </c>
    </row>
    <row r="59" spans="2:47" x14ac:dyDescent="0.35">
      <c r="B59" s="4">
        <v>400</v>
      </c>
      <c r="C59" s="4">
        <v>14.36</v>
      </c>
      <c r="D59" s="4">
        <v>42.39</v>
      </c>
      <c r="E59" s="4">
        <v>33.11</v>
      </c>
      <c r="F59" s="4">
        <v>0.77959999999999996</v>
      </c>
      <c r="G59" s="4">
        <v>0.46379999999999999</v>
      </c>
      <c r="J59" s="4"/>
      <c r="K59" s="4"/>
      <c r="L59" s="4"/>
      <c r="M59" s="4"/>
      <c r="N59" s="4"/>
      <c r="O59" s="4"/>
      <c r="R59" s="1">
        <v>400</v>
      </c>
      <c r="S59" s="1">
        <v>-12.96</v>
      </c>
      <c r="T59" s="1">
        <v>48.36</v>
      </c>
      <c r="U59" s="1">
        <v>11.5</v>
      </c>
      <c r="V59">
        <v>0.2666</v>
      </c>
      <c r="W59" s="1">
        <v>0.2666</v>
      </c>
      <c r="AH59" s="1">
        <v>400</v>
      </c>
      <c r="AI59" s="1">
        <v>14.36</v>
      </c>
      <c r="AJ59" s="1">
        <v>42.39</v>
      </c>
      <c r="AK59" s="1">
        <v>33.11</v>
      </c>
      <c r="AL59" s="1">
        <v>0.77959999999999996</v>
      </c>
      <c r="AM59" s="2">
        <v>0.46379999999999999</v>
      </c>
      <c r="AP59" s="4">
        <v>400</v>
      </c>
      <c r="AQ59" s="4">
        <v>-12.96</v>
      </c>
      <c r="AR59" s="4">
        <v>48.36</v>
      </c>
      <c r="AS59" s="4">
        <v>11.5</v>
      </c>
      <c r="AT59" s="4">
        <v>0.2666</v>
      </c>
      <c r="AU59" s="4">
        <v>0.29659999999999997</v>
      </c>
    </row>
    <row r="60" spans="2:47" x14ac:dyDescent="0.35">
      <c r="B60" s="4">
        <v>450</v>
      </c>
      <c r="C60" s="4">
        <v>17.72</v>
      </c>
      <c r="D60" s="4">
        <v>44.47</v>
      </c>
      <c r="E60" s="4">
        <v>36.1</v>
      </c>
      <c r="F60" s="4">
        <v>0.90210000000000001</v>
      </c>
      <c r="G60" s="4">
        <v>0.4713</v>
      </c>
      <c r="J60" s="4"/>
      <c r="K60" s="4"/>
      <c r="L60" s="4"/>
      <c r="M60" s="4"/>
      <c r="N60" s="4"/>
      <c r="O60" s="4"/>
      <c r="R60" s="1">
        <v>450</v>
      </c>
      <c r="S60" s="1">
        <v>-7.52</v>
      </c>
      <c r="T60" s="1">
        <v>51.22</v>
      </c>
      <c r="U60" s="1">
        <v>12.18</v>
      </c>
      <c r="V60">
        <v>0.30370000000000003</v>
      </c>
      <c r="W60" s="1">
        <v>0.30370000000000003</v>
      </c>
      <c r="AH60" s="1">
        <v>450</v>
      </c>
      <c r="AI60" s="1">
        <v>17.72</v>
      </c>
      <c r="AJ60" s="1">
        <v>44.97</v>
      </c>
      <c r="AK60" s="1">
        <v>34.700000000000003</v>
      </c>
      <c r="AL60" s="1">
        <v>0.90210000000000001</v>
      </c>
      <c r="AM60" s="2">
        <v>0.4713</v>
      </c>
      <c r="AP60" s="4">
        <v>450</v>
      </c>
      <c r="AQ60" s="4">
        <v>-7.52</v>
      </c>
      <c r="AR60" s="4">
        <v>51.22</v>
      </c>
      <c r="AS60" s="4">
        <v>12.18</v>
      </c>
      <c r="AT60" s="4">
        <v>0.30370000000000003</v>
      </c>
      <c r="AU60" s="4">
        <v>0.317</v>
      </c>
    </row>
    <row r="61" spans="2:47" x14ac:dyDescent="0.35">
      <c r="B61" s="4">
        <v>500</v>
      </c>
      <c r="C61" s="4">
        <v>16.82</v>
      </c>
      <c r="D61" s="4">
        <v>46.7</v>
      </c>
      <c r="E61" s="4">
        <v>36.56</v>
      </c>
      <c r="F61" s="4">
        <v>0.98919999999999997</v>
      </c>
      <c r="G61" s="4">
        <v>0.49020000000000002</v>
      </c>
      <c r="J61" s="4"/>
      <c r="K61" s="4"/>
      <c r="L61" s="4"/>
      <c r="M61" s="4"/>
      <c r="N61" s="4"/>
      <c r="O61" s="4"/>
      <c r="R61" s="1">
        <v>500</v>
      </c>
      <c r="S61" s="1">
        <v>-2.84</v>
      </c>
      <c r="T61" s="1">
        <v>53.99</v>
      </c>
      <c r="U61" s="1">
        <v>12.84</v>
      </c>
      <c r="V61">
        <v>0.34279999999999999</v>
      </c>
      <c r="W61" s="1">
        <v>0.34279999999999999</v>
      </c>
      <c r="AH61" s="1">
        <v>500</v>
      </c>
      <c r="AI61" s="1">
        <v>16.82</v>
      </c>
      <c r="AJ61" s="1">
        <v>46.7</v>
      </c>
      <c r="AK61" s="1">
        <v>36.56</v>
      </c>
      <c r="AL61" s="1">
        <v>0.98919999999999997</v>
      </c>
      <c r="AM61" s="2">
        <v>0.49020000000000002</v>
      </c>
      <c r="AP61" s="4">
        <v>500</v>
      </c>
      <c r="AQ61" s="4">
        <v>-2.84</v>
      </c>
      <c r="AR61" s="4">
        <v>53.99</v>
      </c>
      <c r="AS61" s="4">
        <v>12.84</v>
      </c>
      <c r="AT61" s="4">
        <v>0.34279999999999999</v>
      </c>
      <c r="AU61" s="4">
        <v>0.3357</v>
      </c>
    </row>
    <row r="62" spans="2:47" x14ac:dyDescent="0.35">
      <c r="B62" s="4">
        <v>600</v>
      </c>
      <c r="C62" s="4">
        <v>18.47</v>
      </c>
      <c r="D62" s="4">
        <v>50.77</v>
      </c>
      <c r="E62" s="4">
        <v>39.76</v>
      </c>
      <c r="F62" s="4">
        <v>1.2172000000000001</v>
      </c>
      <c r="G62" s="4">
        <v>0.50990000000000002</v>
      </c>
      <c r="J62" s="4"/>
      <c r="K62" s="4"/>
      <c r="L62" s="4"/>
      <c r="M62" s="4"/>
      <c r="N62" s="4"/>
      <c r="O62" s="4"/>
      <c r="R62" s="1">
        <v>600</v>
      </c>
      <c r="S62" s="1">
        <v>4.7300000000000004</v>
      </c>
      <c r="T62" s="1">
        <v>59.3</v>
      </c>
      <c r="U62" s="1">
        <v>14.11</v>
      </c>
      <c r="V62">
        <v>0.42649999999999999</v>
      </c>
      <c r="W62" s="1">
        <v>0.42649999999999999</v>
      </c>
      <c r="AH62" s="1">
        <v>600</v>
      </c>
      <c r="AI62" s="1">
        <v>18.47</v>
      </c>
      <c r="AJ62" s="1">
        <v>50.77</v>
      </c>
      <c r="AK62" s="1">
        <v>39.76</v>
      </c>
      <c r="AL62" s="1">
        <v>1.2172000000000001</v>
      </c>
      <c r="AM62" s="2">
        <v>0.50990000000000002</v>
      </c>
      <c r="AP62" s="4">
        <v>600</v>
      </c>
      <c r="AQ62" s="4">
        <v>4.7300000000000004</v>
      </c>
      <c r="AR62" s="4">
        <v>59.3</v>
      </c>
      <c r="AS62" s="4">
        <v>14.11</v>
      </c>
      <c r="AT62" s="4">
        <v>0.42649999999999999</v>
      </c>
      <c r="AU62" s="4">
        <v>0.36870000000000003</v>
      </c>
    </row>
    <row r="63" spans="2:47" x14ac:dyDescent="0.35">
      <c r="B63" s="4">
        <v>700</v>
      </c>
      <c r="C63" s="4">
        <v>19.59</v>
      </c>
      <c r="D63" s="4">
        <v>54.65</v>
      </c>
      <c r="E63" s="4">
        <v>42.8</v>
      </c>
      <c r="F63" s="4">
        <v>1.4625999999999999</v>
      </c>
      <c r="G63" s="4">
        <v>0.52439999999999998</v>
      </c>
      <c r="J63" s="4"/>
      <c r="K63" s="4"/>
      <c r="L63" s="4"/>
      <c r="M63" s="4"/>
      <c r="N63" s="4"/>
      <c r="O63" s="4"/>
      <c r="R63" s="1">
        <v>700</v>
      </c>
      <c r="S63" s="1">
        <v>10.55</v>
      </c>
      <c r="T63" s="1">
        <v>64.34</v>
      </c>
      <c r="U63" s="1">
        <v>15.31</v>
      </c>
      <c r="V63">
        <v>0.5171</v>
      </c>
      <c r="W63" s="1">
        <v>0.3967</v>
      </c>
      <c r="AH63" s="1">
        <v>700</v>
      </c>
      <c r="AI63" s="1">
        <v>19.59</v>
      </c>
      <c r="AJ63" s="1">
        <v>54.65</v>
      </c>
      <c r="AK63" s="1">
        <v>42.8</v>
      </c>
      <c r="AL63" s="1">
        <v>1.4625999999999999</v>
      </c>
      <c r="AM63" s="2">
        <v>0.52439999999999998</v>
      </c>
      <c r="AP63" s="4">
        <v>700</v>
      </c>
      <c r="AQ63" s="4">
        <v>10.55</v>
      </c>
      <c r="AR63" s="4">
        <v>64.34</v>
      </c>
      <c r="AS63" s="4">
        <v>15.31</v>
      </c>
      <c r="AT63" s="4">
        <v>0.5171</v>
      </c>
      <c r="AU63" s="4">
        <v>0.3967</v>
      </c>
    </row>
    <row r="64" spans="2:47" x14ac:dyDescent="0.35">
      <c r="B64" s="4">
        <v>800</v>
      </c>
      <c r="C64" s="4">
        <v>20.36</v>
      </c>
      <c r="D64" s="4">
        <v>58.36</v>
      </c>
      <c r="E64" s="4">
        <v>45.72</v>
      </c>
      <c r="F64" s="4">
        <v>1.7250000000000001</v>
      </c>
      <c r="G64" s="4">
        <v>0.53469999999999995</v>
      </c>
      <c r="J64" s="4"/>
      <c r="K64" s="4"/>
      <c r="L64" s="4"/>
      <c r="M64" s="4"/>
      <c r="N64" s="4"/>
      <c r="O64" s="4"/>
      <c r="R64" s="1">
        <v>800</v>
      </c>
      <c r="S64" s="1">
        <v>15.1</v>
      </c>
      <c r="T64" s="1">
        <v>69.150000000000006</v>
      </c>
      <c r="U64" s="1">
        <v>16.46</v>
      </c>
      <c r="V64">
        <v>0.61419999999999997</v>
      </c>
      <c r="W64" s="1">
        <v>0.42070000000000002</v>
      </c>
      <c r="AH64" s="1">
        <v>800</v>
      </c>
      <c r="AI64" s="1">
        <v>20.36</v>
      </c>
      <c r="AJ64" s="1">
        <v>58.36</v>
      </c>
      <c r="AK64" s="1">
        <v>45.72</v>
      </c>
      <c r="AL64" s="1">
        <v>1.7250000000000001</v>
      </c>
      <c r="AM64" s="2">
        <v>0.53469999999999995</v>
      </c>
      <c r="AP64" s="4">
        <v>800</v>
      </c>
      <c r="AQ64" s="4">
        <v>15.1</v>
      </c>
      <c r="AR64" s="4">
        <v>69.150000000000006</v>
      </c>
      <c r="AS64" s="4">
        <v>16.46</v>
      </c>
      <c r="AT64" s="4">
        <v>0.61419999999999997</v>
      </c>
      <c r="AU64" s="4">
        <v>0.42070000000000002</v>
      </c>
    </row>
    <row r="65" spans="2:47" x14ac:dyDescent="0.35">
      <c r="B65" s="4">
        <v>900</v>
      </c>
      <c r="C65" s="4">
        <v>21.6</v>
      </c>
      <c r="D65" s="4">
        <v>78.19</v>
      </c>
      <c r="E65" s="4">
        <v>48.62</v>
      </c>
      <c r="F65" s="4">
        <v>0.82720000000000005</v>
      </c>
      <c r="G65" s="4">
        <v>0.45889999999999997</v>
      </c>
      <c r="J65" s="4"/>
      <c r="K65" s="4"/>
      <c r="L65" s="4"/>
      <c r="M65" s="4"/>
      <c r="N65" s="4"/>
      <c r="O65" s="4"/>
      <c r="R65" s="1">
        <v>900</v>
      </c>
      <c r="S65" s="1">
        <v>18.72</v>
      </c>
      <c r="T65" s="1">
        <v>73.760000000000005</v>
      </c>
      <c r="U65" s="1">
        <v>17.559999999999999</v>
      </c>
      <c r="V65">
        <v>0.7177</v>
      </c>
      <c r="W65" s="1">
        <v>0.44119999999999998</v>
      </c>
      <c r="AH65" s="1">
        <v>900</v>
      </c>
      <c r="AI65" s="1">
        <v>20.48</v>
      </c>
      <c r="AJ65" s="1">
        <v>61.37</v>
      </c>
      <c r="AK65" s="1">
        <v>48.52</v>
      </c>
      <c r="AL65" s="1">
        <v>2.0036999999999998</v>
      </c>
      <c r="AM65" s="2">
        <v>0.54159999999999997</v>
      </c>
      <c r="AP65" s="4">
        <v>900</v>
      </c>
      <c r="AQ65" s="4">
        <v>18.72</v>
      </c>
      <c r="AR65" s="4">
        <v>73.760000000000005</v>
      </c>
      <c r="AS65" s="4">
        <v>17.559999999999999</v>
      </c>
      <c r="AT65" s="4">
        <v>0.7177</v>
      </c>
      <c r="AU65" s="4">
        <v>0.44119999999999998</v>
      </c>
    </row>
    <row r="66" spans="2:47" x14ac:dyDescent="0.35">
      <c r="B66" s="4">
        <v>1000</v>
      </c>
      <c r="C66" s="4">
        <v>21.37</v>
      </c>
      <c r="D66" s="4">
        <v>65.39</v>
      </c>
      <c r="E66" s="4">
        <v>51.23</v>
      </c>
      <c r="F66" s="4">
        <v>2.2985000000000002</v>
      </c>
      <c r="G66" s="4">
        <v>0.54569999999999996</v>
      </c>
      <c r="J66" s="4"/>
      <c r="K66" s="4"/>
      <c r="L66" s="4"/>
      <c r="M66" s="4"/>
      <c r="N66" s="4"/>
      <c r="O66" s="4"/>
      <c r="R66" s="1">
        <v>1000</v>
      </c>
      <c r="S66" s="1">
        <v>21.6</v>
      </c>
      <c r="T66" s="1">
        <v>78.19</v>
      </c>
      <c r="U66" s="1">
        <v>18.62</v>
      </c>
      <c r="V66">
        <v>0.82720000000000005</v>
      </c>
      <c r="W66" s="1">
        <v>0.45889999999999997</v>
      </c>
      <c r="AH66" s="1">
        <v>1000</v>
      </c>
      <c r="AI66" s="1">
        <v>21.37</v>
      </c>
      <c r="AJ66" s="1">
        <v>65.39</v>
      </c>
      <c r="AK66" s="1">
        <v>51.23</v>
      </c>
      <c r="AL66" s="1">
        <v>2.2985000000000002</v>
      </c>
      <c r="AM66" s="2">
        <v>0.54569999999999996</v>
      </c>
      <c r="AP66" s="4">
        <v>1000</v>
      </c>
      <c r="AQ66" s="4">
        <v>21.6</v>
      </c>
      <c r="AR66" s="4">
        <v>78.19</v>
      </c>
      <c r="AS66" s="4">
        <v>18.62</v>
      </c>
      <c r="AT66" s="4">
        <v>0.82720000000000005</v>
      </c>
      <c r="AU66" s="4">
        <v>0.45889999999999997</v>
      </c>
    </row>
    <row r="67" spans="2:47" x14ac:dyDescent="0.35">
      <c r="B67" s="4">
        <v>1500</v>
      </c>
      <c r="C67" s="4">
        <v>23.16</v>
      </c>
      <c r="D67" s="4">
        <v>91.33</v>
      </c>
      <c r="E67" s="4">
        <v>63.73</v>
      </c>
      <c r="F67" s="4">
        <v>4.0042</v>
      </c>
      <c r="G67" s="4">
        <v>0.54090000000000005</v>
      </c>
      <c r="J67" s="4"/>
      <c r="K67" s="4"/>
      <c r="L67" s="4"/>
      <c r="M67" s="4"/>
      <c r="N67" s="4"/>
      <c r="O67" s="4"/>
      <c r="R67" s="1">
        <v>1500</v>
      </c>
      <c r="S67" s="1">
        <v>24.14</v>
      </c>
      <c r="T67" s="1">
        <v>95.84</v>
      </c>
      <c r="U67" s="1">
        <v>75.08</v>
      </c>
      <c r="V67">
        <v>1.4581999999999999</v>
      </c>
      <c r="W67" s="1">
        <v>0.52859999999999996</v>
      </c>
      <c r="AH67" s="1">
        <v>1500</v>
      </c>
      <c r="AI67" s="1">
        <v>23.16</v>
      </c>
      <c r="AJ67" s="1">
        <v>91.33</v>
      </c>
      <c r="AK67" s="1">
        <v>63.73</v>
      </c>
      <c r="AL67" s="1">
        <v>4.0042</v>
      </c>
      <c r="AM67" s="2">
        <v>0.54090000000000005</v>
      </c>
      <c r="AP67" s="4">
        <v>1500</v>
      </c>
      <c r="AQ67" s="4">
        <v>23.16</v>
      </c>
      <c r="AR67" s="4">
        <v>91.33</v>
      </c>
      <c r="AS67" s="4">
        <v>23.44</v>
      </c>
      <c r="AT67" s="4">
        <v>1.4512</v>
      </c>
      <c r="AU67" s="4">
        <v>0.54090000000000005</v>
      </c>
    </row>
    <row r="68" spans="2:47" x14ac:dyDescent="0.35">
      <c r="B68" s="4">
        <v>2000</v>
      </c>
      <c r="C68" s="4">
        <v>24.14</v>
      </c>
      <c r="D68" s="4">
        <v>95.84</v>
      </c>
      <c r="E68" s="4">
        <v>75.08</v>
      </c>
      <c r="F68" s="4">
        <v>6.0781000000000001</v>
      </c>
      <c r="G68" s="4">
        <v>0.52859999999999996</v>
      </c>
      <c r="J68" s="4"/>
      <c r="K68" s="4"/>
      <c r="L68" s="4"/>
      <c r="M68" s="4"/>
      <c r="N68" s="4"/>
      <c r="O68" s="4"/>
      <c r="R68" s="1">
        <v>2000</v>
      </c>
      <c r="S68" s="1">
        <v>32.619999999999997</v>
      </c>
      <c r="T68" s="1">
        <v>116.23</v>
      </c>
      <c r="U68" s="1">
        <v>27.7</v>
      </c>
      <c r="V68">
        <v>2.2168000000000001</v>
      </c>
      <c r="W68" s="1">
        <v>0.54169999999999996</v>
      </c>
      <c r="AH68" s="1">
        <v>2000</v>
      </c>
      <c r="AI68" s="1">
        <v>24.14</v>
      </c>
      <c r="AJ68" s="1">
        <v>95.84</v>
      </c>
      <c r="AK68" s="1">
        <v>75.08</v>
      </c>
      <c r="AL68" s="1">
        <v>6.0781000000000001</v>
      </c>
      <c r="AM68" s="2">
        <v>0.52859999999999996</v>
      </c>
      <c r="AP68" s="4">
        <v>2000</v>
      </c>
      <c r="AQ68" s="4">
        <v>32.619999999999997</v>
      </c>
      <c r="AR68" s="4">
        <v>116.23</v>
      </c>
      <c r="AS68" s="4">
        <v>27.7</v>
      </c>
      <c r="AT68" s="4">
        <v>2.2168000000000001</v>
      </c>
      <c r="AU68" s="4">
        <v>0.54169999999999996</v>
      </c>
    </row>
    <row r="69" spans="2:47" x14ac:dyDescent="0.35">
      <c r="B69" s="4">
        <v>2500</v>
      </c>
      <c r="C69" s="4">
        <v>24.51</v>
      </c>
      <c r="D69" s="4">
        <v>109.45</v>
      </c>
      <c r="E69" s="4">
        <v>85.73</v>
      </c>
      <c r="F69" s="4">
        <v>8.4984000000000002</v>
      </c>
      <c r="G69" s="4">
        <v>0.51719999999999999</v>
      </c>
      <c r="J69" s="4"/>
      <c r="K69" s="4"/>
      <c r="L69" s="4"/>
      <c r="M69" s="4"/>
      <c r="N69" s="4"/>
      <c r="O69" s="4"/>
      <c r="R69" s="1">
        <v>2500</v>
      </c>
      <c r="S69" s="1">
        <v>34.270000000000003</v>
      </c>
      <c r="T69" s="1">
        <v>132.57</v>
      </c>
      <c r="U69" s="1">
        <v>31.6</v>
      </c>
      <c r="V69">
        <v>3.0935000000000001</v>
      </c>
      <c r="W69" s="1">
        <v>0.54759999999999998</v>
      </c>
      <c r="AH69" s="1">
        <v>2500</v>
      </c>
      <c r="AI69" s="1">
        <v>24.51</v>
      </c>
      <c r="AJ69" s="1">
        <v>109.45</v>
      </c>
      <c r="AK69" s="1">
        <v>85.73</v>
      </c>
      <c r="AL69" s="1">
        <v>8.4984000000000002</v>
      </c>
      <c r="AM69" s="2">
        <v>0.51719999999999999</v>
      </c>
      <c r="AP69" s="4">
        <v>2500</v>
      </c>
      <c r="AQ69" s="4">
        <v>34.270000000000003</v>
      </c>
      <c r="AR69" s="4">
        <v>132.57</v>
      </c>
      <c r="AS69" s="4">
        <v>31.6</v>
      </c>
      <c r="AT69" s="4">
        <v>3.0935000000000001</v>
      </c>
      <c r="AU69" s="4">
        <v>0.54759999999999998</v>
      </c>
    </row>
    <row r="70" spans="2:47" x14ac:dyDescent="0.35">
      <c r="B70" s="4">
        <v>3000</v>
      </c>
      <c r="C70" s="4">
        <v>24.55</v>
      </c>
      <c r="D70" s="4">
        <v>122.39</v>
      </c>
      <c r="E70" s="4">
        <v>95.96</v>
      </c>
      <c r="F70" s="4">
        <v>11.2483</v>
      </c>
      <c r="G70" s="4">
        <v>0.50780000000000003</v>
      </c>
      <c r="J70" s="4"/>
      <c r="K70" s="4"/>
      <c r="L70" s="4"/>
      <c r="M70" s="4"/>
      <c r="N70" s="4"/>
      <c r="O70" s="4"/>
      <c r="R70" s="1">
        <v>3000</v>
      </c>
      <c r="S70" s="1">
        <v>35.71</v>
      </c>
      <c r="T70" s="1">
        <v>147.84</v>
      </c>
      <c r="U70" s="1">
        <v>35.24</v>
      </c>
      <c r="V70">
        <v>4.0846</v>
      </c>
      <c r="W70" s="1">
        <v>0.53720000000000001</v>
      </c>
      <c r="AH70" s="1">
        <v>3000</v>
      </c>
      <c r="AI70" s="1">
        <v>24.55</v>
      </c>
      <c r="AJ70" s="1">
        <v>122.39</v>
      </c>
      <c r="AK70" s="1">
        <v>95.96</v>
      </c>
      <c r="AL70" s="1">
        <v>11.2483</v>
      </c>
      <c r="AM70" s="2">
        <v>0.50780000000000003</v>
      </c>
      <c r="AP70" s="4">
        <v>3000</v>
      </c>
      <c r="AQ70" s="4">
        <v>35.71</v>
      </c>
      <c r="AR70" s="4">
        <v>147.84</v>
      </c>
      <c r="AS70" s="4">
        <v>35.24</v>
      </c>
      <c r="AT70" s="4">
        <v>4.0846</v>
      </c>
      <c r="AU70" s="4">
        <v>0.53720000000000001</v>
      </c>
    </row>
  </sheetData>
  <mergeCells count="5">
    <mergeCell ref="B44:G44"/>
    <mergeCell ref="J44:O44"/>
    <mergeCell ref="AP44:AU44"/>
    <mergeCell ref="AH44:AM44"/>
    <mergeCell ref="R44:W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EB65-CE67-4A8C-A438-86ECE9A8E803}">
  <dimension ref="B2:E52"/>
  <sheetViews>
    <sheetView zoomScale="70" zoomScaleNormal="70" workbookViewId="0">
      <selection activeCell="H39" sqref="H39"/>
    </sheetView>
  </sheetViews>
  <sheetFormatPr defaultRowHeight="14.5" x14ac:dyDescent="0.35"/>
  <cols>
    <col min="2" max="2" width="7.81640625" bestFit="1" customWidth="1"/>
    <col min="3" max="3" width="6.81640625" bestFit="1" customWidth="1"/>
    <col min="4" max="4" width="9" bestFit="1" customWidth="1"/>
    <col min="5" max="5" width="11.54296875" bestFit="1" customWidth="1"/>
  </cols>
  <sheetData>
    <row r="2" spans="2:5" x14ac:dyDescent="0.35">
      <c r="B2" t="s">
        <v>41</v>
      </c>
      <c r="C2" t="s">
        <v>42</v>
      </c>
      <c r="D2" t="s">
        <v>43</v>
      </c>
      <c r="E2" t="s">
        <v>44</v>
      </c>
    </row>
    <row r="3" spans="2:5" x14ac:dyDescent="0.35">
      <c r="B3">
        <v>273.15699999999998</v>
      </c>
      <c r="C3">
        <v>14.997999999999999</v>
      </c>
      <c r="D3">
        <v>1041.55</v>
      </c>
      <c r="E3">
        <v>0.34</v>
      </c>
    </row>
    <row r="4" spans="2:5" x14ac:dyDescent="0.35">
      <c r="B4">
        <v>273.16000000000003</v>
      </c>
      <c r="C4">
        <v>20.117000000000001</v>
      </c>
      <c r="D4">
        <v>1064.1500000000001</v>
      </c>
      <c r="E4">
        <v>0.32</v>
      </c>
    </row>
    <row r="5" spans="2:5" x14ac:dyDescent="0.35">
      <c r="B5">
        <v>273.16000000000003</v>
      </c>
      <c r="C5">
        <v>30.1</v>
      </c>
      <c r="D5">
        <v>1106.95</v>
      </c>
      <c r="E5">
        <v>0.3</v>
      </c>
    </row>
    <row r="6" spans="2:5" x14ac:dyDescent="0.35">
      <c r="B6">
        <v>273.16000000000003</v>
      </c>
      <c r="C6">
        <v>40.110999999999997</v>
      </c>
      <c r="D6">
        <v>1148.3599999999999</v>
      </c>
      <c r="E6">
        <v>0.3</v>
      </c>
    </row>
    <row r="7" spans="2:5" x14ac:dyDescent="0.35">
      <c r="B7">
        <v>273.16000000000003</v>
      </c>
      <c r="C7">
        <v>50.04</v>
      </c>
      <c r="D7">
        <v>1187.73</v>
      </c>
      <c r="E7">
        <v>0.3</v>
      </c>
    </row>
    <row r="8" spans="2:5" x14ac:dyDescent="0.35">
      <c r="B8">
        <v>273.16199999999998</v>
      </c>
      <c r="C8">
        <v>60.063000000000002</v>
      </c>
      <c r="D8">
        <v>1226.2</v>
      </c>
      <c r="E8">
        <v>0.31</v>
      </c>
    </row>
    <row r="9" spans="2:5" x14ac:dyDescent="0.35">
      <c r="B9">
        <v>273.16000000000003</v>
      </c>
      <c r="C9">
        <v>69.948999999999998</v>
      </c>
      <c r="D9">
        <v>1262.8499999999999</v>
      </c>
      <c r="E9">
        <v>0.31</v>
      </c>
    </row>
    <row r="10" spans="2:5" x14ac:dyDescent="0.35">
      <c r="B10">
        <v>273.161</v>
      </c>
      <c r="C10">
        <v>79.566000000000003</v>
      </c>
      <c r="D10">
        <v>1297.1600000000001</v>
      </c>
      <c r="E10">
        <v>0.32</v>
      </c>
    </row>
    <row r="11" spans="2:5" x14ac:dyDescent="0.35">
      <c r="B11">
        <v>273.161</v>
      </c>
      <c r="C11">
        <v>89.988</v>
      </c>
      <c r="D11">
        <v>1333.23</v>
      </c>
      <c r="E11">
        <v>0.33</v>
      </c>
    </row>
    <row r="12" spans="2:5" x14ac:dyDescent="0.35">
      <c r="B12">
        <v>273.16000000000003</v>
      </c>
      <c r="C12">
        <v>99.569000000000003</v>
      </c>
      <c r="D12">
        <v>1365.46</v>
      </c>
      <c r="E12">
        <v>0.33</v>
      </c>
    </row>
    <row r="13" spans="2:5" x14ac:dyDescent="0.35">
      <c r="B13">
        <v>298.15300000000002</v>
      </c>
      <c r="C13">
        <v>15.048999999999999</v>
      </c>
      <c r="D13">
        <v>1081.51</v>
      </c>
      <c r="E13">
        <v>0.39</v>
      </c>
    </row>
    <row r="14" spans="2:5" x14ac:dyDescent="0.35">
      <c r="B14">
        <v>298.15300000000002</v>
      </c>
      <c r="C14">
        <v>20.053000000000001</v>
      </c>
      <c r="D14">
        <v>1102.3900000000001</v>
      </c>
      <c r="E14">
        <v>0.35</v>
      </c>
    </row>
    <row r="15" spans="2:5" x14ac:dyDescent="0.35">
      <c r="B15">
        <v>298.154</v>
      </c>
      <c r="C15">
        <v>30.061</v>
      </c>
      <c r="D15">
        <v>1143.06</v>
      </c>
      <c r="E15">
        <v>0.33</v>
      </c>
    </row>
    <row r="16" spans="2:5" x14ac:dyDescent="0.35">
      <c r="B16">
        <v>298.15199999999999</v>
      </c>
      <c r="C16">
        <v>40.045999999999999</v>
      </c>
      <c r="D16">
        <v>1182.23</v>
      </c>
      <c r="E16">
        <v>0.33</v>
      </c>
    </row>
    <row r="17" spans="2:5" x14ac:dyDescent="0.35">
      <c r="B17">
        <v>298.15100000000001</v>
      </c>
      <c r="C17">
        <v>50.015999999999998</v>
      </c>
      <c r="D17">
        <v>1219.97</v>
      </c>
      <c r="E17">
        <v>0.41</v>
      </c>
    </row>
    <row r="18" spans="2:5" x14ac:dyDescent="0.35">
      <c r="B18">
        <v>298.15300000000002</v>
      </c>
      <c r="C18">
        <v>59.988999999999997</v>
      </c>
      <c r="D18">
        <v>1256.45</v>
      </c>
      <c r="E18">
        <v>0.33</v>
      </c>
    </row>
    <row r="19" spans="2:5" x14ac:dyDescent="0.35">
      <c r="B19">
        <v>298.154</v>
      </c>
      <c r="C19">
        <v>69.978999999999999</v>
      </c>
      <c r="D19">
        <v>1291.79</v>
      </c>
      <c r="E19">
        <v>0.34</v>
      </c>
    </row>
    <row r="20" spans="2:5" x14ac:dyDescent="0.35">
      <c r="B20">
        <v>298.15199999999999</v>
      </c>
      <c r="C20">
        <v>79.977999999999994</v>
      </c>
      <c r="D20">
        <v>1326.03</v>
      </c>
      <c r="E20">
        <v>0.34</v>
      </c>
    </row>
    <row r="21" spans="2:5" x14ac:dyDescent="0.35">
      <c r="B21">
        <v>298.154</v>
      </c>
      <c r="C21">
        <v>90.016999999999996</v>
      </c>
      <c r="D21">
        <v>1359.44</v>
      </c>
      <c r="E21">
        <v>0.34</v>
      </c>
    </row>
    <row r="22" spans="2:5" x14ac:dyDescent="0.35">
      <c r="B22">
        <v>298.15300000000002</v>
      </c>
      <c r="C22">
        <v>99.566999999999993</v>
      </c>
      <c r="D22">
        <v>1390.42</v>
      </c>
      <c r="E22">
        <v>0.35</v>
      </c>
    </row>
    <row r="23" spans="2:5" x14ac:dyDescent="0.35">
      <c r="B23">
        <v>323.15300000000002</v>
      </c>
      <c r="C23">
        <v>15.234</v>
      </c>
      <c r="D23">
        <v>1120.5</v>
      </c>
      <c r="E23">
        <v>0.38</v>
      </c>
    </row>
    <row r="24" spans="2:5" x14ac:dyDescent="0.35">
      <c r="B24">
        <v>323.15699999999998</v>
      </c>
      <c r="C24">
        <v>20.108000000000001</v>
      </c>
      <c r="D24">
        <v>1139.9100000000001</v>
      </c>
      <c r="E24">
        <v>0.35</v>
      </c>
    </row>
    <row r="25" spans="2:5" x14ac:dyDescent="0.35">
      <c r="B25">
        <v>323.15499999999997</v>
      </c>
      <c r="C25">
        <v>30.113</v>
      </c>
      <c r="D25">
        <v>1178.6500000000001</v>
      </c>
      <c r="E25">
        <v>0.33</v>
      </c>
    </row>
    <row r="26" spans="2:5" x14ac:dyDescent="0.35">
      <c r="B26">
        <v>323.154</v>
      </c>
      <c r="C26">
        <v>40.055999999999997</v>
      </c>
      <c r="D26">
        <v>1215.8399999999999</v>
      </c>
      <c r="E26">
        <v>0.32</v>
      </c>
    </row>
    <row r="27" spans="2:5" x14ac:dyDescent="0.35">
      <c r="B27">
        <v>323.15300000000002</v>
      </c>
      <c r="C27">
        <v>50.06</v>
      </c>
      <c r="D27">
        <v>1252.1400000000001</v>
      </c>
      <c r="E27">
        <v>0.35</v>
      </c>
    </row>
    <row r="28" spans="2:5" x14ac:dyDescent="0.35">
      <c r="B28">
        <v>323.154</v>
      </c>
      <c r="C28">
        <v>60.097000000000001</v>
      </c>
      <c r="D28">
        <v>1287.27</v>
      </c>
      <c r="E28">
        <v>0.34</v>
      </c>
    </row>
    <row r="29" spans="2:5" x14ac:dyDescent="0.35">
      <c r="B29">
        <v>323.15499999999997</v>
      </c>
      <c r="C29">
        <v>70.09</v>
      </c>
      <c r="D29">
        <v>1321.24</v>
      </c>
      <c r="E29">
        <v>0.35</v>
      </c>
    </row>
    <row r="30" spans="2:5" x14ac:dyDescent="0.35">
      <c r="B30">
        <v>323.15499999999997</v>
      </c>
      <c r="C30">
        <v>80.055000000000007</v>
      </c>
      <c r="D30">
        <v>1353.9</v>
      </c>
      <c r="E30">
        <v>0.36</v>
      </c>
    </row>
    <row r="31" spans="2:5" x14ac:dyDescent="0.35">
      <c r="B31">
        <v>323.154</v>
      </c>
      <c r="C31">
        <v>89.960999999999999</v>
      </c>
      <c r="D31">
        <v>1385.49</v>
      </c>
      <c r="E31">
        <v>0.36</v>
      </c>
    </row>
    <row r="32" spans="2:5" x14ac:dyDescent="0.35">
      <c r="B32">
        <v>323.154</v>
      </c>
      <c r="C32">
        <v>99.564999999999998</v>
      </c>
      <c r="D32">
        <v>1415.62</v>
      </c>
      <c r="E32">
        <v>0.35</v>
      </c>
    </row>
    <row r="33" spans="2:5" x14ac:dyDescent="0.35">
      <c r="B33">
        <v>348.13499999999999</v>
      </c>
      <c r="C33">
        <v>14.943</v>
      </c>
      <c r="D33">
        <v>1156.6400000000001</v>
      </c>
      <c r="E33">
        <v>0.49</v>
      </c>
    </row>
    <row r="34" spans="2:5" x14ac:dyDescent="0.35">
      <c r="B34">
        <v>348.14100000000002</v>
      </c>
      <c r="C34">
        <v>20.065999999999999</v>
      </c>
      <c r="D34">
        <v>1175.8499999999999</v>
      </c>
      <c r="E34">
        <v>0.42</v>
      </c>
    </row>
    <row r="35" spans="2:5" x14ac:dyDescent="0.35">
      <c r="B35">
        <v>348.13799999999998</v>
      </c>
      <c r="C35">
        <v>29.998999999999999</v>
      </c>
      <c r="D35">
        <v>1212.6099999999999</v>
      </c>
      <c r="E35">
        <v>0.34</v>
      </c>
    </row>
    <row r="36" spans="2:5" x14ac:dyDescent="0.35">
      <c r="B36">
        <v>348.13799999999998</v>
      </c>
      <c r="C36">
        <v>40.076999999999998</v>
      </c>
      <c r="D36">
        <v>1248.6300000000001</v>
      </c>
      <c r="E36">
        <v>0.33</v>
      </c>
    </row>
    <row r="37" spans="2:5" x14ac:dyDescent="0.35">
      <c r="B37">
        <v>348.13900000000001</v>
      </c>
      <c r="C37">
        <v>49.945</v>
      </c>
      <c r="D37">
        <v>1283.1099999999999</v>
      </c>
      <c r="E37">
        <v>0.34</v>
      </c>
    </row>
    <row r="38" spans="2:5" x14ac:dyDescent="0.35">
      <c r="B38">
        <v>348.13900000000001</v>
      </c>
      <c r="C38">
        <v>60.008000000000003</v>
      </c>
      <c r="D38">
        <v>1316.73</v>
      </c>
      <c r="E38">
        <v>0.34</v>
      </c>
    </row>
    <row r="39" spans="2:5" x14ac:dyDescent="0.35">
      <c r="B39">
        <v>348.137</v>
      </c>
      <c r="C39">
        <v>69.998999999999995</v>
      </c>
      <c r="D39">
        <v>1349.35</v>
      </c>
      <c r="E39">
        <v>0.34</v>
      </c>
    </row>
    <row r="40" spans="2:5" x14ac:dyDescent="0.35">
      <c r="B40">
        <v>348.137</v>
      </c>
      <c r="C40">
        <v>80</v>
      </c>
      <c r="D40">
        <v>1381.46</v>
      </c>
      <c r="E40">
        <v>0.34</v>
      </c>
    </row>
    <row r="41" spans="2:5" x14ac:dyDescent="0.35">
      <c r="B41">
        <v>348.14</v>
      </c>
      <c r="C41">
        <v>90.039000000000001</v>
      </c>
      <c r="D41">
        <v>1412.15</v>
      </c>
      <c r="E41">
        <v>0.35</v>
      </c>
    </row>
    <row r="42" spans="2:5" x14ac:dyDescent="0.35">
      <c r="B42">
        <v>348.142</v>
      </c>
      <c r="C42">
        <v>99.656999999999996</v>
      </c>
      <c r="D42">
        <v>1441.39</v>
      </c>
      <c r="E42">
        <v>0.36</v>
      </c>
    </row>
    <row r="43" spans="2:5" x14ac:dyDescent="0.35">
      <c r="B43">
        <v>373.14699999999999</v>
      </c>
      <c r="C43">
        <v>15.061</v>
      </c>
      <c r="D43">
        <v>1193.4000000000001</v>
      </c>
      <c r="E43">
        <v>0.44</v>
      </c>
    </row>
    <row r="44" spans="2:5" x14ac:dyDescent="0.35">
      <c r="B44">
        <v>373.14800000000002</v>
      </c>
      <c r="C44">
        <v>20.079999999999998</v>
      </c>
      <c r="D44">
        <v>1211.48</v>
      </c>
      <c r="E44">
        <v>0.43</v>
      </c>
    </row>
    <row r="45" spans="2:5" x14ac:dyDescent="0.35">
      <c r="B45">
        <v>373.14800000000002</v>
      </c>
      <c r="C45">
        <v>30.068000000000001</v>
      </c>
      <c r="D45">
        <v>1246.54</v>
      </c>
      <c r="E45">
        <v>0.37</v>
      </c>
    </row>
    <row r="46" spans="2:5" x14ac:dyDescent="0.35">
      <c r="B46">
        <v>373.15100000000001</v>
      </c>
      <c r="C46">
        <v>40.133000000000003</v>
      </c>
      <c r="D46">
        <v>1281.26</v>
      </c>
      <c r="E46">
        <v>0.35</v>
      </c>
    </row>
    <row r="47" spans="2:5" x14ac:dyDescent="0.35">
      <c r="B47">
        <v>373.15</v>
      </c>
      <c r="C47">
        <v>50.151000000000003</v>
      </c>
      <c r="D47">
        <v>1314.55</v>
      </c>
      <c r="E47">
        <v>0.35</v>
      </c>
    </row>
    <row r="48" spans="2:5" x14ac:dyDescent="0.35">
      <c r="B48">
        <v>373.15</v>
      </c>
      <c r="C48">
        <v>60.131</v>
      </c>
      <c r="D48">
        <v>1347.24</v>
      </c>
      <c r="E48">
        <v>0.35</v>
      </c>
    </row>
    <row r="49" spans="2:5" x14ac:dyDescent="0.35">
      <c r="B49">
        <v>373.15300000000002</v>
      </c>
      <c r="C49">
        <v>70.004000000000005</v>
      </c>
      <c r="D49">
        <v>1377.99</v>
      </c>
      <c r="E49">
        <v>0.35</v>
      </c>
    </row>
    <row r="50" spans="2:5" x14ac:dyDescent="0.35">
      <c r="B50">
        <v>373.15</v>
      </c>
      <c r="C50">
        <v>80.113</v>
      </c>
      <c r="D50">
        <v>1409.27</v>
      </c>
      <c r="E50">
        <v>0.36</v>
      </c>
    </row>
    <row r="51" spans="2:5" x14ac:dyDescent="0.35">
      <c r="B51">
        <v>373.15300000000002</v>
      </c>
      <c r="C51">
        <v>89.994</v>
      </c>
      <c r="D51">
        <v>1438.45</v>
      </c>
      <c r="E51">
        <v>0.36</v>
      </c>
    </row>
    <row r="52" spans="2:5" x14ac:dyDescent="0.35">
      <c r="B52">
        <v>373.14600000000002</v>
      </c>
      <c r="C52">
        <v>99.653000000000006</v>
      </c>
      <c r="D52">
        <v>1466.72</v>
      </c>
      <c r="E52">
        <v>0.37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03DD-6DF1-46BC-B94B-1613B595BC0B}">
  <dimension ref="B3:H20"/>
  <sheetViews>
    <sheetView tabSelected="1" workbookViewId="0">
      <selection activeCell="S17" sqref="S17"/>
    </sheetView>
  </sheetViews>
  <sheetFormatPr defaultRowHeight="14.5" x14ac:dyDescent="0.35"/>
  <cols>
    <col min="2" max="2" width="25.7265625" bestFit="1" customWidth="1"/>
    <col min="3" max="8" width="12.36328125" bestFit="1" customWidth="1"/>
  </cols>
  <sheetData>
    <row r="3" spans="2:8" x14ac:dyDescent="0.35">
      <c r="B3" t="s">
        <v>45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</row>
    <row r="4" spans="2:8" x14ac:dyDescent="0.35">
      <c r="B4" t="s">
        <v>46</v>
      </c>
      <c r="C4">
        <v>4</v>
      </c>
      <c r="D4">
        <v>20.18</v>
      </c>
      <c r="E4">
        <v>39.950000000000003</v>
      </c>
      <c r="F4">
        <v>83.8</v>
      </c>
      <c r="G4">
        <v>131.30000000000001</v>
      </c>
      <c r="H4">
        <v>28</v>
      </c>
    </row>
    <row r="5" spans="2:8" x14ac:dyDescent="0.35">
      <c r="B5" t="s">
        <v>47</v>
      </c>
      <c r="C5">
        <v>5.2</v>
      </c>
      <c r="D5">
        <v>44.5</v>
      </c>
      <c r="E5">
        <v>150.69999999999999</v>
      </c>
      <c r="F5">
        <v>209.5</v>
      </c>
      <c r="G5">
        <v>289.7</v>
      </c>
      <c r="H5">
        <v>126.2</v>
      </c>
    </row>
    <row r="6" spans="2:8" x14ac:dyDescent="0.35">
      <c r="B6" t="s">
        <v>48</v>
      </c>
      <c r="C6">
        <v>0.22750000000000001</v>
      </c>
      <c r="D6">
        <v>2.6779999999999999</v>
      </c>
      <c r="E6">
        <v>4.8630000000000004</v>
      </c>
      <c r="F6">
        <v>5.51</v>
      </c>
      <c r="G6">
        <v>5.84</v>
      </c>
      <c r="H6">
        <v>3.3959999999999999</v>
      </c>
    </row>
    <row r="7" spans="2:8" x14ac:dyDescent="0.35">
      <c r="B7" t="s">
        <v>49</v>
      </c>
      <c r="C7">
        <v>57.48</v>
      </c>
      <c r="D7">
        <v>41.87</v>
      </c>
      <c r="E7">
        <v>74.59</v>
      </c>
      <c r="F7">
        <v>92.25</v>
      </c>
      <c r="G7">
        <v>118.28</v>
      </c>
      <c r="H7">
        <v>89.41</v>
      </c>
    </row>
    <row r="8" spans="2:8" x14ac:dyDescent="0.35">
      <c r="B8" t="s">
        <v>50</v>
      </c>
      <c r="C8">
        <v>69.64</v>
      </c>
      <c r="D8">
        <v>481.9</v>
      </c>
      <c r="E8">
        <v>535.6</v>
      </c>
      <c r="F8">
        <v>908.4</v>
      </c>
      <c r="G8">
        <v>1110</v>
      </c>
      <c r="H8">
        <v>313.3</v>
      </c>
    </row>
    <row r="9" spans="2:8" x14ac:dyDescent="0.35">
      <c r="B9" t="s">
        <v>51</v>
      </c>
    </row>
    <row r="10" spans="2:8" x14ac:dyDescent="0.35">
      <c r="B10" t="s">
        <v>52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>
        <v>1.4</v>
      </c>
    </row>
    <row r="11" spans="2:8" x14ac:dyDescent="0.35">
      <c r="B11" t="s">
        <v>54</v>
      </c>
      <c r="C11">
        <v>1.67</v>
      </c>
      <c r="D11">
        <v>1.67</v>
      </c>
      <c r="E11">
        <v>1.67</v>
      </c>
      <c r="F11">
        <v>1.67</v>
      </c>
      <c r="G11">
        <v>1.67</v>
      </c>
      <c r="H11" t="s">
        <v>53</v>
      </c>
    </row>
    <row r="12" spans="2:8" x14ac:dyDescent="0.35">
      <c r="B12" t="s">
        <v>55</v>
      </c>
      <c r="C12">
        <v>1.67</v>
      </c>
      <c r="D12">
        <v>1.67</v>
      </c>
      <c r="E12">
        <v>1.7</v>
      </c>
      <c r="F12">
        <v>1.72</v>
      </c>
      <c r="G12">
        <v>1.79</v>
      </c>
      <c r="H12" t="s">
        <v>53</v>
      </c>
    </row>
    <row r="13" spans="2:8" x14ac:dyDescent="0.35">
      <c r="B13" t="s">
        <v>56</v>
      </c>
      <c r="C13">
        <v>1.67</v>
      </c>
      <c r="D13">
        <v>1.67</v>
      </c>
      <c r="E13">
        <v>1.67</v>
      </c>
      <c r="F13">
        <v>1.7</v>
      </c>
      <c r="G13">
        <v>1.79</v>
      </c>
      <c r="H13" t="s">
        <v>53</v>
      </c>
    </row>
    <row r="14" spans="2:8" x14ac:dyDescent="0.35">
      <c r="B14" t="s">
        <v>57</v>
      </c>
      <c r="C14">
        <v>1.66</v>
      </c>
      <c r="D14">
        <v>1.67</v>
      </c>
      <c r="E14">
        <v>1.77</v>
      </c>
      <c r="F14">
        <v>1.88</v>
      </c>
      <c r="G14">
        <v>2.21</v>
      </c>
      <c r="H14" t="s">
        <v>53</v>
      </c>
    </row>
    <row r="15" spans="2:8" x14ac:dyDescent="0.35">
      <c r="B15" t="s">
        <v>58</v>
      </c>
      <c r="C15">
        <v>1.66</v>
      </c>
      <c r="D15">
        <v>1.66</v>
      </c>
      <c r="E15">
        <v>1.66</v>
      </c>
      <c r="F15">
        <v>1.67</v>
      </c>
      <c r="G15">
        <v>1.69</v>
      </c>
      <c r="H15" t="s">
        <v>53</v>
      </c>
    </row>
    <row r="18" spans="2:8" x14ac:dyDescent="0.35">
      <c r="B18" t="s">
        <v>59</v>
      </c>
      <c r="C18" s="8">
        <f>AVERAGE(C11:C15)</f>
        <v>1.6659999999999999</v>
      </c>
      <c r="D18" s="8">
        <f t="shared" ref="D18:G18" si="0">AVERAGE(D11:D15)</f>
        <v>1.6679999999999999</v>
      </c>
      <c r="E18" s="8">
        <f t="shared" si="0"/>
        <v>1.6940000000000002</v>
      </c>
      <c r="F18" s="8">
        <f t="shared" si="0"/>
        <v>1.7280000000000002</v>
      </c>
      <c r="G18" s="8">
        <f t="shared" si="0"/>
        <v>1.83</v>
      </c>
      <c r="H18" s="8">
        <v>1.4</v>
      </c>
    </row>
    <row r="19" spans="2:8" x14ac:dyDescent="0.35">
      <c r="B19" t="s">
        <v>60</v>
      </c>
      <c r="C19" s="9">
        <f>($C$20)/(C4/1000)</f>
        <v>2078.5</v>
      </c>
      <c r="D19" s="9">
        <f t="shared" ref="D19:H19" si="1">($C$20)/(D4/1000)</f>
        <v>411.99207135777999</v>
      </c>
      <c r="E19" s="9">
        <f t="shared" si="1"/>
        <v>208.1101376720901</v>
      </c>
      <c r="F19" s="9">
        <f t="shared" si="1"/>
        <v>99.212410501193318</v>
      </c>
      <c r="G19" s="9">
        <f t="shared" si="1"/>
        <v>63.32063975628332</v>
      </c>
      <c r="H19" s="9">
        <f t="shared" si="1"/>
        <v>296.92857142857144</v>
      </c>
    </row>
    <row r="20" spans="2:8" x14ac:dyDescent="0.35">
      <c r="B20" t="s">
        <v>61</v>
      </c>
      <c r="C20">
        <v>8.3140000000000001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Gases_prop</vt:lpstr>
      <vt:lpstr>N2_prop</vt:lpstr>
      <vt:lpstr>Gases_prop_velocity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Reymond</dc:creator>
  <cp:lastModifiedBy>Hugo Reymond</cp:lastModifiedBy>
  <dcterms:created xsi:type="dcterms:W3CDTF">2026-03-05T15:46:54Z</dcterms:created>
  <dcterms:modified xsi:type="dcterms:W3CDTF">2026-03-23T09:37:53Z</dcterms:modified>
</cp:coreProperties>
</file>